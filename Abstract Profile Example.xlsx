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wasthi\Documents\A.HWaaS\"/>
    </mc:Choice>
  </mc:AlternateContent>
  <bookViews>
    <workbookView xWindow="0" yWindow="0" windowWidth="15530" windowHeight="7640" tabRatio="981" firstSheet="1" activeTab="8"/>
  </bookViews>
  <sheets>
    <sheet name="New-Global Requirement" sheetId="1" r:id="rId1"/>
    <sheet name="Administration" sheetId="2" r:id="rId2"/>
    <sheet name="Metering" sheetId="3" r:id="rId3"/>
    <sheet name="Billing" sheetId="11" r:id="rId4"/>
    <sheet name="Billing Calculation" sheetId="4" r:id="rId5"/>
    <sheet name="Ticketing" sheetId="5" r:id="rId6"/>
    <sheet name="Reporting" sheetId="6" r:id="rId7"/>
    <sheet name="Customer Portal" sheetId="7" r:id="rId8"/>
    <sheet name="LFS Portal" sheetId="8" r:id="rId9"/>
    <sheet name="Change and Disconnect" sheetId="10" r:id="rId10"/>
    <sheet name="Onboarding" sheetId="9" r:id="rId1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9" i="4" l="1"/>
  <c r="F27" i="4"/>
  <c r="F26" i="4"/>
  <c r="D43" i="4"/>
  <c r="C38" i="4" l="1"/>
  <c r="D38" i="4" l="1"/>
  <c r="D52" i="4"/>
  <c r="C43" i="4"/>
  <c r="C49" i="4" s="1"/>
  <c r="D53" i="4" l="1"/>
  <c r="C53" i="4"/>
  <c r="D49" i="4" l="1"/>
</calcChain>
</file>

<file path=xl/sharedStrings.xml><?xml version="1.0" encoding="utf-8"?>
<sst xmlns="http://schemas.openxmlformats.org/spreadsheetml/2006/main" count="982" uniqueCount="609">
  <si>
    <t>Currency /Display /Exchange Rate</t>
  </si>
  <si>
    <t>Language Support</t>
  </si>
  <si>
    <t>Global Currency Support including No decimel Currency</t>
  </si>
  <si>
    <t xml:space="preserve">Currency Symbol: </t>
  </si>
  <si>
    <t xml:space="preserve">HWaaS Core / Admin Portal </t>
  </si>
  <si>
    <t>Customer Portal</t>
  </si>
  <si>
    <t>LFS/Channel Partner Portal</t>
  </si>
  <si>
    <t>Reporing</t>
  </si>
  <si>
    <t>Customer Portal Reporting :</t>
  </si>
  <si>
    <r>
      <t>LFS/Channel Partner Portal Reporting</t>
    </r>
    <r>
      <rPr>
        <sz val="18"/>
        <color rgb="FF000000"/>
        <rFont val="Calibri"/>
        <family val="2"/>
      </rPr>
      <t xml:space="preserve"> </t>
    </r>
  </si>
  <si>
    <t>If any report is being displayed/downloaded by LFS user from the portal , then data on report should be in display currency selected on portal. If user doesn’t select any currency , then report data should be in LFS user’s profile currency</t>
  </si>
  <si>
    <t>Currency Rounding</t>
  </si>
  <si>
    <t xml:space="preserve">Exchange Rate </t>
  </si>
  <si>
    <t>Exchnage Rate Historical Data</t>
  </si>
  <si>
    <t>Exchange Rate -Reporting</t>
  </si>
  <si>
    <t>Display -Decimal and Thousand Separator for Currency and Numeric value</t>
  </si>
  <si>
    <t>User should be able to view data in the desired format as setup in his user profile .(Note : System should support any other localization format (if any) not shown in the table above. Table or examples provided here just for requirement understanding.)</t>
  </si>
  <si>
    <t>System should round (up/down) the billing amount to two decimal places for all the currencies (eg. USD, EUR, INR, RMB)  that have decimals and round to integer for all the currencies that do not have decimals (eg JPY,CLP). This should not be hardcoded but configurable by system admin. </t>
  </si>
  <si>
    <t>If the reporting data is displayed/downloaded for past /OR any past data is displayed on portal where exchange rate was different than the current exchange rate ,then  exchange rate for that period (past) should be applied .For example , if a user is displaying /downloading a Billing report for the month of Oct , Nov and Dec ( ie 4th qtr of the year) in the month of Jan and reporting/display currency is different than contract currency , then exchange rate for Oct should be applied to Oct billing data , exchange rate for Nov should be applied to Nov billing data and exchange rate for Dec should be applied to Dec billing data .</t>
  </si>
  <si>
    <t>Report should display /download report in contract currency . User should also have ability to display/download report in desired currency . Billing report should also have option to display/download the Total Billing Amount amount/Net Revenue Due in both the currencies ‘requested/display as well as contract currency’.</t>
  </si>
  <si>
    <t>If any report is being displayed /downloaded from Customer Portal , then data on report should be in customer’s user profile currency.</t>
  </si>
  <si>
    <t>NewGlob_0001</t>
  </si>
  <si>
    <t>NewGlob_0002</t>
  </si>
  <si>
    <t>NewGlob_0003</t>
  </si>
  <si>
    <t>NewGlob_0004</t>
  </si>
  <si>
    <t>NewGlob_0005</t>
  </si>
  <si>
    <t>NewGlob_0006</t>
  </si>
  <si>
    <t>NewGlob_0007</t>
  </si>
  <si>
    <t>NewGlob_0008</t>
  </si>
  <si>
    <t>NewGlob_0009</t>
  </si>
  <si>
    <t>NewGlob_0010</t>
  </si>
  <si>
    <t>NewGlob_0011</t>
  </si>
  <si>
    <t>NewGlob_0012</t>
  </si>
  <si>
    <t>NewGlob_0013</t>
  </si>
  <si>
    <t>NewGlob_0014</t>
  </si>
  <si>
    <t>WS1.00.1012</t>
  </si>
  <si>
    <t>n/a</t>
  </si>
  <si>
    <t>WS1.00.1013</t>
  </si>
  <si>
    <t>WS1.00.1014</t>
  </si>
  <si>
    <t>System shall display a message when a new user is manually created</t>
  </si>
  <si>
    <t>System shall display a message when a new user is manually updated</t>
  </si>
  <si>
    <t>Module</t>
  </si>
  <si>
    <t>Notes</t>
  </si>
  <si>
    <t>Support Systems</t>
  </si>
  <si>
    <t xml:space="preserve">Responsible Role </t>
  </si>
  <si>
    <t xml:space="preserve">Fit/Gap? </t>
  </si>
  <si>
    <t>Fit-Gap Analysis</t>
  </si>
  <si>
    <t xml:space="preserve">Status </t>
  </si>
  <si>
    <t>Points</t>
  </si>
  <si>
    <t>Sprint</t>
  </si>
  <si>
    <t xml:space="preserve">Assign to </t>
  </si>
  <si>
    <t>Blocked</t>
  </si>
  <si>
    <t>Blocked for Reason</t>
  </si>
  <si>
    <t>Moscos</t>
  </si>
  <si>
    <t>Requirement ID</t>
  </si>
  <si>
    <t>Master Process title</t>
  </si>
  <si>
    <t>Process #</t>
  </si>
  <si>
    <t>Process name</t>
  </si>
  <si>
    <t>Requirement Short Description</t>
  </si>
  <si>
    <t>Process</t>
  </si>
  <si>
    <t>02.01 Metering</t>
  </si>
  <si>
    <t>Billing</t>
  </si>
  <si>
    <t>WS1.02.1001</t>
  </si>
  <si>
    <t>02.01.08</t>
  </si>
  <si>
    <t>Response Received at Mid Server</t>
  </si>
  <si>
    <t>Mid Server needs to validate data received from xClarity</t>
  </si>
  <si>
    <t>WS1.02.1004</t>
  </si>
  <si>
    <t>02.01.11</t>
  </si>
  <si>
    <t>WS1.02.1005</t>
  </si>
  <si>
    <t>Fallout Process - Create Ticket (unable to define valid metering failure creator to capture end to end error requirements)  Will be added in the solution design</t>
  </si>
  <si>
    <t>02.02 Bill Calculation</t>
  </si>
  <si>
    <t>WS1.02.1011</t>
  </si>
  <si>
    <t>WS1.02.1012</t>
  </si>
  <si>
    <t>WS1.02.1013</t>
  </si>
  <si>
    <t>WS1.02.1014</t>
  </si>
  <si>
    <t>WS1.02.1015</t>
  </si>
  <si>
    <t>WS1.02.1016</t>
  </si>
  <si>
    <t>WS1.02.1017</t>
  </si>
  <si>
    <t>WS1.02.1018</t>
  </si>
  <si>
    <t>Ticket Entry</t>
  </si>
  <si>
    <t>WS1.02.1020</t>
  </si>
  <si>
    <t>System needs to be able to download report on demand and send via email.</t>
  </si>
  <si>
    <t>WS1.02.1021</t>
  </si>
  <si>
    <t>System shall allow user to be able to send downloaded report via email</t>
  </si>
  <si>
    <t>Variable</t>
  </si>
  <si>
    <t>Type</t>
  </si>
  <si>
    <t>symbol</t>
  </si>
  <si>
    <t>Source</t>
  </si>
  <si>
    <t>Usage (U)</t>
  </si>
  <si>
    <t>API</t>
  </si>
  <si>
    <t>kWh</t>
  </si>
  <si>
    <t>xClarity</t>
  </si>
  <si>
    <t>Number of kilowatt hours the device is in use per pay period</t>
  </si>
  <si>
    <t>Price - Cost per hwh - (P_USD)</t>
  </si>
  <si>
    <t>Fixed</t>
  </si>
  <si>
    <t>P-USD</t>
  </si>
  <si>
    <t>Contract</t>
  </si>
  <si>
    <t>Price per Kilowatt hour customer agrees to pay per time period</t>
  </si>
  <si>
    <t>Base Price (BP_USD)</t>
  </si>
  <si>
    <t>BP_USD</t>
  </si>
  <si>
    <t>Price to participate in program per billing period</t>
  </si>
  <si>
    <t>Maximum equipment capacity (MEC)</t>
  </si>
  <si>
    <t>Maximum number of kwh device is capable of operating during time period</t>
  </si>
  <si>
    <t>Minimum usage Fee (MUF)</t>
  </si>
  <si>
    <t>Calculated</t>
  </si>
  <si>
    <t>%/Maximum equipment capacity</t>
  </si>
  <si>
    <t>Minimum price customer agrees to pay each billing period</t>
  </si>
  <si>
    <t>Minimum usage amount (MUF)</t>
  </si>
  <si>
    <t>%</t>
  </si>
  <si>
    <t>Percentage of Maximum equipment capacity (MEC) customer agrees to use each pay period</t>
  </si>
  <si>
    <t>comiment to LFS</t>
  </si>
  <si>
    <t>USD</t>
  </si>
  <si>
    <t>Fix amount per device per billing period</t>
  </si>
  <si>
    <t>Maximum equipment price (MEP)</t>
  </si>
  <si>
    <t>(MEC*P-USD)</t>
  </si>
  <si>
    <t>Maximum amount (USD) that could be charged against the device per time period</t>
  </si>
  <si>
    <t>Time Period price calculation</t>
  </si>
  <si>
    <t>Values provided to LFS via report</t>
  </si>
  <si>
    <t>Usage</t>
  </si>
  <si>
    <t>Usage Price</t>
  </si>
  <si>
    <t>Usage * Price</t>
  </si>
  <si>
    <t>(U)*(p_USD)</t>
  </si>
  <si>
    <t>Base Price</t>
  </si>
  <si>
    <t>Total price / p</t>
  </si>
  <si>
    <t>Minimum usage fee</t>
  </si>
  <si>
    <t>{(MEC)*(MUF)] * p_USD</t>
  </si>
  <si>
    <t>Cap Fee (CF)</t>
  </si>
  <si>
    <t>Co</t>
  </si>
  <si>
    <t>Sample (1 asset)</t>
  </si>
  <si>
    <t>Master data</t>
  </si>
  <si>
    <t>Month 1</t>
  </si>
  <si>
    <t>Month 2</t>
  </si>
  <si>
    <t>Terms:</t>
  </si>
  <si>
    <t>Maximum equipment Power (MEC) kWh</t>
  </si>
  <si>
    <t>Idle equipment Power (IEC) kWh</t>
  </si>
  <si>
    <t>Minimum Usage Commitment  (MUF) (%) / per month</t>
  </si>
  <si>
    <t>Minimum Usage Commitment  (MUP) (kWh) / per month</t>
  </si>
  <si>
    <t>Contract duration (months)</t>
  </si>
  <si>
    <t>Price ($/kWh)</t>
  </si>
  <si>
    <t>Usage real time (kWh)</t>
  </si>
  <si>
    <t>Utilization (%)</t>
  </si>
  <si>
    <t>(C34-B27)/(B26-B27)</t>
  </si>
  <si>
    <t>Customer Bill:</t>
  </si>
  <si>
    <t>Base Program Fee - all Services (monthly)</t>
  </si>
  <si>
    <t>Capacity Commitment Fee - (monthly)</t>
  </si>
  <si>
    <t>Variable Usage Fee - (monthly)</t>
  </si>
  <si>
    <t>Variable Usage Fee = (Xusage-MUP)*p_USD only if XUsage&gt; MUP
Variable Usage Fee = (Xusage-MUP)*0 if XUsage is not GT MUP</t>
  </si>
  <si>
    <t>****If C33&gt;B29 ,(C34-B29) *B32 and ****If C33&lt;B29, (C34-B29)*0</t>
  </si>
  <si>
    <t>Total Bill (by LFS)</t>
  </si>
  <si>
    <t>Total Bill by LFS to Cust =Base Program Fee + Capacity Commit Fee + Variable Usage Fee</t>
  </si>
  <si>
    <t>Lenovo Billing:</t>
  </si>
  <si>
    <t>Capacity Commitment to LFS ($)</t>
  </si>
  <si>
    <t>Net to/due Lenovo</t>
  </si>
  <si>
    <t>Due to Lenovo = Total Bill-Commit to LFS</t>
  </si>
  <si>
    <t xml:space="preserve">****(C40+C39)-C44 </t>
  </si>
  <si>
    <t>Legend:</t>
  </si>
  <si>
    <t>Contract term</t>
  </si>
  <si>
    <t>Manually input (CSM)</t>
  </si>
  <si>
    <t>System Calc</t>
  </si>
  <si>
    <t>Definitions :</t>
  </si>
  <si>
    <r>
      <rPr>
        <b/>
        <sz val="12"/>
        <color rgb="FF000000"/>
        <rFont val="Times New Roman"/>
        <family val="1"/>
      </rPr>
      <t>Base Program Fee:</t>
    </r>
    <r>
      <rPr>
        <sz val="12"/>
        <color rgb="FF000000"/>
        <rFont val="Times New Roman"/>
        <family val="1"/>
      </rPr>
      <t xml:space="preserve"> This is a fixed cost incurred by customer per month per node deployed over the term of the contract.  This Cost covers all associated Services covering the program (Installation, Deployment, Warranty, Maintenance, Support, Remote Monitoring, Firmware updates, Asset Management, Health Checks, Quarterly Business Reviews, Deinstallation).  This charge will be invoiced on day 1 of the calendar month following usage.</t>
    </r>
    <r>
      <rPr>
        <sz val="10"/>
        <color rgb="FF000000"/>
        <rFont val="Segoe UI"/>
        <family val="2"/>
      </rPr>
      <t xml:space="preserve"> </t>
    </r>
  </si>
  <si>
    <r>
      <rPr>
        <b/>
        <sz val="12"/>
        <color rgb="FF000000"/>
        <rFont val="Times New Roman"/>
        <family val="1"/>
      </rPr>
      <t xml:space="preserve">Capacity Commit Fee: </t>
    </r>
    <r>
      <rPr>
        <sz val="12"/>
        <color rgb="FF000000"/>
        <rFont val="Times New Roman"/>
        <family val="1"/>
      </rPr>
      <t>This is a fixed cost incurred by customer per month per node deployed, over the term of the contract.  Customer agrees to a minimum utilization of the capacity deployed, equivalent to xx% utilization of each node deployed XXX.  This charge will be invoiced on day 1 of the calendar month following usage.</t>
    </r>
    <r>
      <rPr>
        <sz val="10"/>
        <color rgb="FF000000"/>
        <rFont val="Segoe UI"/>
        <family val="2"/>
      </rPr>
      <t xml:space="preserve"> </t>
    </r>
  </si>
  <si>
    <r>
      <rPr>
        <b/>
        <sz val="12"/>
        <color rgb="FF000000"/>
        <rFont val="Times New Roman"/>
        <family val="1"/>
      </rPr>
      <t>Variable Usage Fee: </t>
    </r>
    <r>
      <rPr>
        <sz val="12"/>
        <color rgb="FF000000"/>
        <rFont val="Times New Roman"/>
        <family val="1"/>
      </rPr>
      <t> This is a variable cost incurred by customer per month per node deployed over the term of the contract.  Customer will be charged in accordance to the contracted $/kWh rate per node, and the assessed power consumption per node above the minimum commitment of xx% utilization, as determined by the Utilization methodology above. This charge will be invoiced on day 1 of the calendar month following usage.</t>
    </r>
    <r>
      <rPr>
        <sz val="10"/>
        <color rgb="FF000000"/>
        <rFont val="Segoe UI"/>
        <family val="2"/>
      </rPr>
      <t xml:space="preserve"> </t>
    </r>
  </si>
  <si>
    <t>Requirementss</t>
  </si>
  <si>
    <t>WS1.03.1000</t>
  </si>
  <si>
    <t>03.01 Ticket Entry - Customer</t>
  </si>
  <si>
    <t>Customer needs to open support ticket</t>
  </si>
  <si>
    <t>System shall allow Customer to be able to  submit support ticket</t>
  </si>
  <si>
    <t>WS1.03.1001</t>
  </si>
  <si>
    <t>03.01.01.01</t>
  </si>
  <si>
    <t>Customer needs to log in to the Customer Portal</t>
  </si>
  <si>
    <t>System shall allow Customer to be able to  log in to the Customer Portal</t>
  </si>
  <si>
    <t>WS1.03.1002</t>
  </si>
  <si>
    <t>03.01.01.02</t>
  </si>
  <si>
    <t>Click Create New Ticket Button</t>
  </si>
  <si>
    <t>Customer needs to have a way to create a new ticket</t>
  </si>
  <si>
    <t>System shall provide a "Create new ticket" button for customer - portal</t>
  </si>
  <si>
    <t>WS1.03.1003</t>
  </si>
  <si>
    <t>03.01.01.03</t>
  </si>
  <si>
    <t>Enter Details (free form text)</t>
  </si>
  <si>
    <t>Customer needs a way to capture details in predefined fields</t>
  </si>
  <si>
    <t>System shall provide a form with predefined fields for the customer to input details - portal</t>
  </si>
  <si>
    <t>WS1.03.1004</t>
  </si>
  <si>
    <t>03.01.01.04</t>
  </si>
  <si>
    <t>Save Ticket</t>
  </si>
  <si>
    <t>Customer needs a way to save the ticket</t>
  </si>
  <si>
    <t>System shall provide a Save (Submit)  button on the form for customer</t>
  </si>
  <si>
    <t>WS1.03.1005</t>
  </si>
  <si>
    <t>03.01.01.05</t>
  </si>
  <si>
    <t>Notify CSM Ticket was created</t>
  </si>
  <si>
    <t>Customer needs a notification to know when a ticket has been created</t>
  </si>
  <si>
    <t>System shall create and send a notification email to customer when a ticket is created</t>
  </si>
  <si>
    <t>WS1.03.1006</t>
  </si>
  <si>
    <t>Change notification</t>
  </si>
  <si>
    <t xml:space="preserve">System needs to notify ticket owner when  ticket is updated or closed.   </t>
  </si>
  <si>
    <t>WS1.03.1007</t>
  </si>
  <si>
    <t>WS1.03.1008</t>
  </si>
  <si>
    <t>WS1.03.1009</t>
  </si>
  <si>
    <t>03.01 Ticket Entry -LFS</t>
  </si>
  <si>
    <t>03.01.02.01</t>
  </si>
  <si>
    <t>WS1.03.1010</t>
  </si>
  <si>
    <t>03.01.02.02</t>
  </si>
  <si>
    <t>LFS User needs to have a way to create a new ticket</t>
  </si>
  <si>
    <t>System shall provide a "Create new ticket" button for LFS user</t>
  </si>
  <si>
    <t>WS1.03.1011</t>
  </si>
  <si>
    <t>03.01.02.03</t>
  </si>
  <si>
    <t>LFS User needs a way to capture details in predefined fields</t>
  </si>
  <si>
    <t>System shall provide a form with predefined fields for the LFS user to provide details</t>
  </si>
  <si>
    <t>WS1.03.1012</t>
  </si>
  <si>
    <t>03.01.02.04</t>
  </si>
  <si>
    <t>LFS User needs a way to save the ticket</t>
  </si>
  <si>
    <t>System shall provide a Save (Submit)  button on the form for LFS user</t>
  </si>
  <si>
    <t>WS1.03.1013</t>
  </si>
  <si>
    <t>03.01.02.05</t>
  </si>
  <si>
    <t>LFS User needs a notification to know the ticket has been created</t>
  </si>
  <si>
    <t>System shall create and send a email notification to LFS user when a ticket is created</t>
  </si>
  <si>
    <t>WS1.03.1014</t>
  </si>
  <si>
    <t>WS1.03.1015</t>
  </si>
  <si>
    <t xml:space="preserve">System needs to notify ticket owner when  ticket is closed.   </t>
  </si>
  <si>
    <t>System shall send email notification  to notify ticket owner when  ticket is closed</t>
  </si>
  <si>
    <t>WS1.03.1016</t>
  </si>
  <si>
    <t>WS1.03.1017</t>
  </si>
  <si>
    <t>03.01.03.01</t>
  </si>
  <si>
    <t>WS1.03.1018</t>
  </si>
  <si>
    <t>03.01.03.02</t>
  </si>
  <si>
    <t>CSM Reviews Existing Tickets</t>
  </si>
  <si>
    <t>CSM User needs a way to review existing tickets</t>
  </si>
  <si>
    <t>System shall allow CSM User to be able to review existing tickets</t>
  </si>
  <si>
    <t>WS1.03.1019</t>
  </si>
  <si>
    <t>03.01.03.04</t>
  </si>
  <si>
    <t>CSM enters new ticket details</t>
  </si>
  <si>
    <t>CSM User needs a way to create a new ticket with details</t>
  </si>
  <si>
    <t>WS1.03.1020</t>
  </si>
  <si>
    <t>WS1.03.1021</t>
  </si>
  <si>
    <t>03.01 Ticket Entry - Admin</t>
  </si>
  <si>
    <t>03.01.04.01</t>
  </si>
  <si>
    <t>03.01.04.06</t>
  </si>
  <si>
    <t>Notify Triage  Owner was created</t>
  </si>
  <si>
    <t>Triage Owner needs a way to receive notification</t>
  </si>
  <si>
    <t>WS1.04.1000</t>
  </si>
  <si>
    <t>Customer needs to be able to export a report</t>
  </si>
  <si>
    <t>System shall allow Customers to export reports</t>
  </si>
  <si>
    <t>Reports</t>
  </si>
  <si>
    <t>WS1.04.1001</t>
  </si>
  <si>
    <t>Customer needs to be able to view a report listing all assets connected with their account</t>
  </si>
  <si>
    <t>System shall allow Customer user to view all assets connected with their account</t>
  </si>
  <si>
    <t>WS1.04.1002</t>
  </si>
  <si>
    <t>Customer needs to be able to filter the list of assets connected with their account</t>
  </si>
  <si>
    <t>System shall allow Customer user to filter the view all assets connected with their account</t>
  </si>
  <si>
    <t>WS1.04.1003</t>
  </si>
  <si>
    <t>Customer needs to be able to view a report listing all metering data connected with their assets</t>
  </si>
  <si>
    <t>System shall allow Customer user to view metering data associated with their assets</t>
  </si>
  <si>
    <t>WS1.04.1004</t>
  </si>
  <si>
    <t>Customer needs to be able to filter the metering data connected with their account</t>
  </si>
  <si>
    <t>System shall allow Customer needs to filter the metering data connected with their account</t>
  </si>
  <si>
    <t>WS1.04.1005</t>
  </si>
  <si>
    <t xml:space="preserve">Customer needs to be able to view a report listing all billing data associated with their assets. </t>
  </si>
  <si>
    <t>System shall allow Customer user to view billing data associated with their assets</t>
  </si>
  <si>
    <t>WS1.04.1006</t>
  </si>
  <si>
    <t>Customer needs to be able to filter the billing data associated with their assets</t>
  </si>
  <si>
    <t>System shall allow Customer to filter the billing data associated with their assets</t>
  </si>
  <si>
    <t>WS1.04.1007</t>
  </si>
  <si>
    <t>Customer needs to be able to open a support ticket, related to metering / billing data</t>
  </si>
  <si>
    <t>System shall allow Customer user to open a support ticket, related to metering / billing</t>
  </si>
  <si>
    <t>WS1.04.1008</t>
  </si>
  <si>
    <t>Partner user  needs to be able to log into the Partner portal with a unique ID and password</t>
  </si>
  <si>
    <t>WS1.04.1009</t>
  </si>
  <si>
    <t>Partner user needs to be able to navigate to the Dashboard</t>
  </si>
  <si>
    <t xml:space="preserve">System shall allow Partner User to navigate to the Dashboard </t>
  </si>
  <si>
    <t>WS1.04.1010</t>
  </si>
  <si>
    <t>Partner User needs to be able to export a report</t>
  </si>
  <si>
    <t>System shall allow Partner LFS User to export reports</t>
  </si>
  <si>
    <t>WS1.04.1011</t>
  </si>
  <si>
    <t>Partner User needs to be able to view a report listing all assets</t>
  </si>
  <si>
    <t>System shall allow Partner User to view a report listing all assets</t>
  </si>
  <si>
    <t>WS1.04.1012</t>
  </si>
  <si>
    <t>Partner User needs to be able to filter the list of assets</t>
  </si>
  <si>
    <t>System shall allow Partner User to filter the list of assets</t>
  </si>
  <si>
    <t>WS1.04.1013</t>
  </si>
  <si>
    <t>Partner User needs to be able to view a report listing all metering data</t>
  </si>
  <si>
    <t>System shall allow Partner User needs to view a report listing all metering data</t>
  </si>
  <si>
    <t>WS1.04.1014</t>
  </si>
  <si>
    <t xml:space="preserve">Partner User needs to be able to view a report listing all metering data, filtered as needed </t>
  </si>
  <si>
    <t xml:space="preserve">System shall allow Partner User to view a report listing all metering data, filtered as needed </t>
  </si>
  <si>
    <t>WS1.04.1015</t>
  </si>
  <si>
    <t>Partner User needs to be able to view a report listing all billing data</t>
  </si>
  <si>
    <t>System shall allow Partner User to view a report listing all billing data</t>
  </si>
  <si>
    <t>WS1.04.1016</t>
  </si>
  <si>
    <t xml:space="preserve">Partner User needs to be able to filter the billing data  </t>
  </si>
  <si>
    <t xml:space="preserve">System shall allow Partner User to filter the billing data  </t>
  </si>
  <si>
    <t>WS1.04.1017</t>
  </si>
  <si>
    <t>WS1.04.1018</t>
  </si>
  <si>
    <t>CSM User needs to be able to access to the Reports module</t>
  </si>
  <si>
    <t>System shall allow CSM User to navigate to the Reports module</t>
  </si>
  <si>
    <t>WS1.04.1019</t>
  </si>
  <si>
    <t>CSM User needs to be able to  view the report</t>
  </si>
  <si>
    <t xml:space="preserve">System shall allow CSM User to view report </t>
  </si>
  <si>
    <t>WS1.04.1020</t>
  </si>
  <si>
    <t>CSM User needs to be able to export the report</t>
  </si>
  <si>
    <t>System shall allow CSM User to export reports</t>
  </si>
  <si>
    <t>WS1.04.1021</t>
  </si>
  <si>
    <t>CSM User needs to be able to create a new custom report</t>
  </si>
  <si>
    <t>System shall allow CSM User to create new custom reports</t>
  </si>
  <si>
    <t>WS1.04.1022</t>
  </si>
  <si>
    <t>CSM User needs to be able to view the report</t>
  </si>
  <si>
    <t>System shall allow CSM User to view reports</t>
  </si>
  <si>
    <t>WS1.00.1000</t>
  </si>
  <si>
    <t>System shall allow Customer user to access Customer portal, using a unique user name and password</t>
  </si>
  <si>
    <t>Portal</t>
  </si>
  <si>
    <t>WS1.00.1001</t>
  </si>
  <si>
    <t>System shall allow Customer user to only access data connected with their account</t>
  </si>
  <si>
    <t>WS1.00.1002</t>
  </si>
  <si>
    <t>WS1.00.1003</t>
  </si>
  <si>
    <t>WS1.00.1004</t>
  </si>
  <si>
    <t>WS1.00.1005</t>
  </si>
  <si>
    <t>System shall allow Customer user to view billing data associated with their assets.</t>
  </si>
  <si>
    <t>WS1.00.1006</t>
  </si>
  <si>
    <t>WS1.00.1007</t>
  </si>
  <si>
    <t>System shall allow Partner user to access Partner portal, using a unique user name and password</t>
  </si>
  <si>
    <t>WS1.00.1008</t>
  </si>
  <si>
    <t>System shall allow Partner user to view all assets connected with their account</t>
  </si>
  <si>
    <t>WS1.00.1009</t>
  </si>
  <si>
    <t>System shall allow Partner user to filter the view all assets connected with their account</t>
  </si>
  <si>
    <t>WS1.00.1010</t>
  </si>
  <si>
    <t>System shall allow Partner  user to view metering data associated with their assets.</t>
  </si>
  <si>
    <t>System shall allow Partner  user to view billing data associated with their assets.</t>
  </si>
  <si>
    <t>System shall allow viewer to display data in multi-language</t>
  </si>
  <si>
    <t>System shall allow view to display the information on a small screen</t>
  </si>
  <si>
    <t>WS2.00.1001</t>
  </si>
  <si>
    <t>WS2.00.1008</t>
  </si>
  <si>
    <t>WS2.00.1002</t>
  </si>
  <si>
    <t>WS2.00.1003</t>
  </si>
  <si>
    <t>WS2.00.1004</t>
  </si>
  <si>
    <t>WS2.00.1005</t>
  </si>
  <si>
    <t>WS2.00.1006</t>
  </si>
  <si>
    <t>WS2.00.1007</t>
  </si>
  <si>
    <t>While calculating Usage /Billing /Customer Spend for Portal Billing date should included as reference for calculation on monthly data</t>
  </si>
  <si>
    <t>WS2.00.1010</t>
  </si>
  <si>
    <t>MUP=((MEC-IEC)*MUF%+IEC)* No of Hrs in Billing Period</t>
  </si>
  <si>
    <t>Utilization % =(Usage -IEC Per Month)/ (MEC Per Month-IEC Per Month)</t>
  </si>
  <si>
    <t>Commit Rate</t>
  </si>
  <si>
    <t>Scale On Rate</t>
  </si>
  <si>
    <t>Scale Off Rate</t>
  </si>
  <si>
    <t>Standby Rate</t>
  </si>
  <si>
    <t>Commit Fee</t>
  </si>
  <si>
    <t>Scale On Fee</t>
  </si>
  <si>
    <t>Scale Off Fee</t>
  </si>
  <si>
    <t>Standby Fee</t>
  </si>
  <si>
    <t>One Time Fee</t>
  </si>
  <si>
    <t>System shall allow LFS user to be able to log in to the LFS Portal</t>
  </si>
  <si>
    <t>System should have ability to Schedule Report and send output as attachment ( Spreadsheet/PDF) via email to multiple users</t>
  </si>
  <si>
    <t>Lenovo user should be able to schedule Report to run report on a specific date/time</t>
  </si>
  <si>
    <t>User profile currency should be the default currency for display the data on customer portal. However the backend data should be stored in contract currency and should not be changed. Assumption here is one customer will have only one contract &amp; currency throughout the portal.</t>
  </si>
  <si>
    <t>WS1.00.1011</t>
  </si>
  <si>
    <t>System  should allow to display in different curency then the contract currency.</t>
  </si>
  <si>
    <t>System should map the historic usage and Historic Spend to total bill amount.</t>
  </si>
  <si>
    <t>System Historic alow to dsiplay historic usage and historic billing amount</t>
  </si>
  <si>
    <t>System should alow to dsiplay budget Vs Spend ( Total Bill )</t>
  </si>
  <si>
    <t>WS2.00.1009</t>
  </si>
  <si>
    <t>WS2.00.1011</t>
  </si>
  <si>
    <t>WS2.00.1012</t>
  </si>
  <si>
    <t>WS2.00.1013</t>
  </si>
  <si>
    <t>WS2.00.1014</t>
  </si>
  <si>
    <t>WS2.00.1015</t>
  </si>
  <si>
    <t>WS2.00.1016</t>
  </si>
  <si>
    <t>WS2.00.1017</t>
  </si>
  <si>
    <t>System shall alllow admin to assign specific role to users based on their job description.</t>
  </si>
  <si>
    <t>User Setup</t>
  </si>
  <si>
    <t>Date Format</t>
  </si>
  <si>
    <t>Requirement Number</t>
  </si>
  <si>
    <t>Tab Name</t>
  </si>
  <si>
    <t>Requirement Name</t>
  </si>
  <si>
    <t>WS1.01.1001</t>
  </si>
  <si>
    <t>HWaaS MVP</t>
  </si>
  <si>
    <t>WS1.01.1002</t>
  </si>
  <si>
    <t>Account Registration</t>
  </si>
  <si>
    <t>WS1.01.1003</t>
  </si>
  <si>
    <t>WS1.01.1004</t>
  </si>
  <si>
    <t>WS1.01.1005</t>
  </si>
  <si>
    <t>WS1.01.1006</t>
  </si>
  <si>
    <t>WS1.01.1007</t>
  </si>
  <si>
    <t>WS1.01.1008</t>
  </si>
  <si>
    <t>WS1.01.1009</t>
  </si>
  <si>
    <t>WS1.01.1010</t>
  </si>
  <si>
    <t>WS1.01.1011</t>
  </si>
  <si>
    <t>WS1.01.1012</t>
  </si>
  <si>
    <t>WS1.01.1013</t>
  </si>
  <si>
    <t>WS1.01.1014</t>
  </si>
  <si>
    <t>WS1.01.1015</t>
  </si>
  <si>
    <t>WS1.01.1016</t>
  </si>
  <si>
    <t>WS1.01.1017</t>
  </si>
  <si>
    <t>WS1.01.1018</t>
  </si>
  <si>
    <t>WS1.01.1019</t>
  </si>
  <si>
    <t>WS1.01.1020</t>
  </si>
  <si>
    <t>WS1.01.1021</t>
  </si>
  <si>
    <t>WS1.01.1022</t>
  </si>
  <si>
    <t>WS1.01.1023</t>
  </si>
  <si>
    <t>Install and Activate</t>
  </si>
  <si>
    <t>Admin user should be able to create new roles for the users responsible for different jobs in system eg CSM, Customer, Billing</t>
  </si>
  <si>
    <t>Admin should be able to assign job specific role while creating new usere or change user</t>
  </si>
  <si>
    <t>WS1.02.1022</t>
  </si>
  <si>
    <t>Administration</t>
  </si>
  <si>
    <t>System shall send notification 15 days prior to user password expiration</t>
  </si>
  <si>
    <t>Receive usage Data from HWaaS System and Store in CSM Metering</t>
  </si>
  <si>
    <t>HWaaS System needs to receive metering data from mid server and store in custom table</t>
  </si>
  <si>
    <t>HWaaS System needs to create billing support ticket if valid metering data not collected</t>
  </si>
  <si>
    <t>Log into HWaaS System Customer Portal</t>
  </si>
  <si>
    <t>LFS Logs into HWaaS System Partner Portal</t>
  </si>
  <si>
    <t>LFS User needs to log in to the HWaaS System Partner Portal</t>
  </si>
  <si>
    <t>CSM Logs into HWaaS System Navigator</t>
  </si>
  <si>
    <t>CSM User needs a way to log into HWaaS System Navigator</t>
  </si>
  <si>
    <t>Admin Logs into HWaaS System Navigator</t>
  </si>
  <si>
    <t>Admin User needs a way to log into HWaaS System Navigator</t>
  </si>
  <si>
    <t>System shall allow Partner User to log into the HWaaS System FLS Portal</t>
  </si>
  <si>
    <t>CSM User needs to be able to  a way to log into the HWaaS System Navigator</t>
  </si>
  <si>
    <t>System shall allow CSM User to log into HWaaS System Navigator</t>
  </si>
  <si>
    <t>System Portal alow to dsiplay all existing HWaaS System Portal Widget function are expected along with global language currency exchange rate display .</t>
  </si>
  <si>
    <t>WS1.10.1014</t>
  </si>
  <si>
    <t>Change and Disconnect</t>
  </si>
  <si>
    <t>WS1.10.1015</t>
  </si>
  <si>
    <t>WS1.10.1016</t>
  </si>
  <si>
    <t>WS1.10.1017</t>
  </si>
  <si>
    <t>WS1.10.1000</t>
  </si>
  <si>
    <t>WS1.10.1001</t>
  </si>
  <si>
    <t>WS1.10.1008</t>
  </si>
  <si>
    <t>Commercial Portal</t>
  </si>
  <si>
    <t>Carbon</t>
  </si>
  <si>
    <t xml:space="preserve">System shall send email notification   to notify ticket owner when  ticket is closed.  </t>
  </si>
  <si>
    <t>System shall allow LFS to be able to  submit support ticket</t>
  </si>
  <si>
    <t>03.01 Ticket Entry - CSM</t>
  </si>
  <si>
    <t>System shall allow CSM User to be able to log in to Lenovo Commercial Portal</t>
  </si>
  <si>
    <t xml:space="preserve">System shall allow CSM User to be able to  create a new ticket </t>
  </si>
  <si>
    <t xml:space="preserve">Commercial Portal </t>
  </si>
  <si>
    <t>System shall provide a way for Admin User to log a ticket automatically for any mertered jobs failure</t>
  </si>
  <si>
    <t>Every change header/line item should be recorded and saved .Change report should be availavle for audit purpose.</t>
  </si>
  <si>
    <t>WS1.04.1024</t>
  </si>
  <si>
    <t>WS1.04.1025</t>
  </si>
  <si>
    <t>System shall follow Lenovo's password policy</t>
  </si>
  <si>
    <t>System shall allow for a mechanism to comply with GDPR requirements.</t>
  </si>
  <si>
    <t>Lenovo Shall be able to register a new Customer or multiple Customers- Using an Excel spreadsheet</t>
  </si>
  <si>
    <t>Admin shall   be able to notify CSM user, once activation is complete</t>
  </si>
  <si>
    <t>System shall ensure duplicate records are not created</t>
  </si>
  <si>
    <t>Admin user shall be able to see if an error has occurred during import of master data</t>
  </si>
  <si>
    <t>Lenovo  users shall be able to manually enter master data if required</t>
  </si>
  <si>
    <t>Load templates shall be available for master data upload for Accounts, Contacts, Location, Contracts &amp; Assets</t>
  </si>
  <si>
    <t>Lenovo  users shall be able to update  an existing master data record manually</t>
  </si>
  <si>
    <t>Lenovo  users shall be able to remove  an existing master data record manually</t>
  </si>
  <si>
    <t>Lenovo  users shall be able to update an existing master data record via template upload </t>
  </si>
  <si>
    <t>system shall have the capability to mass remove master data records </t>
  </si>
  <si>
    <t>Lenovo users will shall be able to see system message confirming the creation or update of master data records</t>
  </si>
  <si>
    <t>System shall have the capability to assign appropriate authorizations to users for master data maintenance</t>
  </si>
  <si>
    <t>System shall have the capability to track changes to master data (audit trial)</t>
  </si>
  <si>
    <t>Admin user shall have the capability to create user accounts and send out notifications</t>
  </si>
  <si>
    <t>Admin shall  be able to connect the nodes at the customer location and the system upon installation completion to receive metering data</t>
  </si>
  <si>
    <t>System shall  be able to validate the machine type and Serial number with the asset on the contract</t>
  </si>
  <si>
    <t>Authorized user shall be able to update the asset records in the system once the installation is complete at customer site (for example IP address, workload etc..)</t>
  </si>
  <si>
    <t xml:space="preserve">CSM User shall be able to populate new machines to an existing contract </t>
  </si>
  <si>
    <t xml:space="preserve">CSM User shall be able to connect new machines at customer location with the new system </t>
  </si>
  <si>
    <t xml:space="preserve">System shall have the capability to link the new machines with the primary contract </t>
  </si>
  <si>
    <t>CSM User shall have the capability to cancel an existing contract</t>
  </si>
  <si>
    <t>CSM User shall have the capability to disconnect an asset from receiving the metering data</t>
  </si>
  <si>
    <t>CSM User shall have the capability to send notifications upon disconnecting and asset to the end customer</t>
  </si>
  <si>
    <t>System shall generate a notification 90 days prior to contract expiration and email to Lenovo, LFS, and Customer</t>
  </si>
  <si>
    <t>CSM User shall be able to send notifications upon successfully connecting the machines to the new system</t>
  </si>
  <si>
    <t>System shall be SSO capable</t>
  </si>
  <si>
    <t>Admin user shall have the capability to create/update/remove an user account</t>
  </si>
  <si>
    <t>Admin user shall have the capability to assign specific roles and authorizations to user accounts specific to their their job role.</t>
  </si>
  <si>
    <t>System shall allow user to personalize Geo specific data( For example: Date format, currency, decimal etc.)</t>
  </si>
  <si>
    <t>System shall capture all changes in the system via a audit log</t>
  </si>
  <si>
    <t xml:space="preserve">System shall allow to create/change/remove roles &amp; authorizations </t>
  </si>
  <si>
    <t>System shall have the capability to display billing staging records</t>
  </si>
  <si>
    <t>System shall have the capability to add/edit billing staging records</t>
  </si>
  <si>
    <t>System shall have the capability to white list IP addresses of the authorized users</t>
  </si>
  <si>
    <t>System shall provide a flag to differentiate between Channel Partner, LFS and End customer</t>
  </si>
  <si>
    <t>System  shall  have the capability to read metering data from Net App Storage (Storage)</t>
  </si>
  <si>
    <t>System  shall  have the capability to read metering data from XCC (CPU, I/O/Storage)</t>
  </si>
  <si>
    <t>System shall have the capabilty to store metering data (hourly, daily &amp; monthly)</t>
  </si>
  <si>
    <t>System shall have capability to provide detailed error log, in case there is an issue with metering data transmission</t>
  </si>
  <si>
    <t>System shall have capability to auto generate a ticket in case of transmission failure</t>
  </si>
  <si>
    <t>System shall have the capabilty to display metering data records (hourly, daily &amp; monthly)</t>
  </si>
  <si>
    <t>WS1.02.1002</t>
  </si>
  <si>
    <t>WS1.02.1003</t>
  </si>
  <si>
    <t>WS1.02.1006</t>
  </si>
  <si>
    <t>WS1.02.1007</t>
  </si>
  <si>
    <t>WS1.02.1008</t>
  </si>
  <si>
    <t>WS1.02.1009</t>
  </si>
  <si>
    <t>System shall have the capabilty to create new metering data records manually (hourly, daily &amp; monthly)/ Via upload template.</t>
  </si>
  <si>
    <t>WS1.02.1010</t>
  </si>
  <si>
    <t>System shall have capability to view archived data</t>
  </si>
  <si>
    <t xml:space="preserve">System shall allow user to be able to download a Metering report on demand </t>
  </si>
  <si>
    <t>WS1.02.1023</t>
  </si>
  <si>
    <t>WS1.02.1025</t>
  </si>
  <si>
    <t>WS1.02.1026</t>
  </si>
  <si>
    <t>WS1.02.1027</t>
  </si>
  <si>
    <t>WS1.02.1028</t>
  </si>
  <si>
    <t>WS1.02.1029</t>
  </si>
  <si>
    <t>WS1.02.1031</t>
  </si>
  <si>
    <t>WS1.02.1032</t>
  </si>
  <si>
    <t>WS1.02.1033</t>
  </si>
  <si>
    <t>WS1.02.1034</t>
  </si>
  <si>
    <t>WS1.02.1035</t>
  </si>
  <si>
    <t>System shall have capability  to review data from Metering, Contract, and Assets  to perform Usage/Billing calculation</t>
  </si>
  <si>
    <t>System shall have capability to Perform Billing calculations using billing formula described on Billing Calculation tab</t>
  </si>
  <si>
    <t>System shall have capabilty to support Metering as well as Fixed rate Billing Model ( Contract Type)</t>
  </si>
  <si>
    <t>Systeshall have capability to save asset level Usage , Price ( Variable, Fixed)</t>
  </si>
  <si>
    <t>System shall have capability to  variable Usage fee for each line item by using formula provided and usage captured usage by xclarity.</t>
  </si>
  <si>
    <t>System shall have capability to calculate variable usage fee only if usage exceeds minumum usage commitment</t>
  </si>
  <si>
    <t xml:space="preserve">System shall have capability to calculate Bill for calender month( if Billing day is 1st of the month) as well as contract month (if Billing day is not 1st of the month) </t>
  </si>
  <si>
    <t>System shall have capbaility to consider billing day for monthly  metering data taggregation to be able to correctly display on portals</t>
  </si>
  <si>
    <t>System should calculate Variable usage fee  as Zero , if variable usage are less than or equal to minimum usage commitment.</t>
  </si>
  <si>
    <t>Sytem shall have capbility to calculate utilization for each line item using the Billing Calculation formula</t>
  </si>
  <si>
    <t>System Shall have capbility to Calculate Total Bill Amount  ( Customer Billing Amount ) including all fee components ( Base Program Fee + Capacity Commitment Fee+ Variable Usage Fee+ Commit/Scale/Standby fee + One time fee etc</t>
  </si>
  <si>
    <t>System sshall have capability to calculte net billing amount to be billed to LFS by Lenovo</t>
  </si>
  <si>
    <t>System shall have capability to calculate aggregate for the contract for the month.</t>
  </si>
  <si>
    <t>System shall have capability to save calculated values and the same should be available to be viewed and downloaded as and when needed.</t>
  </si>
  <si>
    <t>System shall have capability to calculate &amp; generate Billing Amount on Billing day specified in Contract and write to Monthly Billing table.</t>
  </si>
  <si>
    <t>System shall have capbility to Edit/Update Billing data by authorized users ( eg Admin, CSM)</t>
  </si>
  <si>
    <t>System shall have capability to support all currencies of the world including non Decimel Currencies ( eg : JPY, KRW). System should also support all currency symbols.</t>
  </si>
  <si>
    <t>System shall have capbility to round the billing amount to two decimel places for decimel currencies and to no decimel places for no decimel currencies.</t>
  </si>
  <si>
    <t xml:space="preserve">System shall have capability to provide results of calculations to LFS in a report form. </t>
  </si>
  <si>
    <t>System shall have capability  to create support ticket if valid billing data is not created</t>
  </si>
  <si>
    <t>System shall have capability to send email notification to CSM user that new support ticket created</t>
  </si>
  <si>
    <t>System shall have capability to allow CSM user to track details of support ticket and close once complete</t>
  </si>
  <si>
    <t>Usage from Xclarity (Xusage)</t>
  </si>
  <si>
    <t>Customer shall be able to access customer portal with a unique user name and password</t>
  </si>
  <si>
    <t>System shall have capability to restrict user to only see data connected with their account</t>
  </si>
  <si>
    <t>Customer shall be able to view all assets connected with their account</t>
  </si>
  <si>
    <t>Customer shall to be able to filter the list of assets connected with their account</t>
  </si>
  <si>
    <t>Customer shall be  able to view metering /Usage  data connected with their assets</t>
  </si>
  <si>
    <t>Customer shall be able to view Budget Vs Spend.</t>
  </si>
  <si>
    <t>Customer shall be able  to open a support ticket, related to metering / billing data</t>
  </si>
  <si>
    <t>Customer portal shall  to be able to present portal text in multi-languages</t>
  </si>
  <si>
    <t>Portal shall consider user profile currency as the default currency to display the data on customer portal. However the backend data should be stored in contract currency and should not be changed. Assumption here is one customer will have only one contract &amp; currency throughout the portal.</t>
  </si>
  <si>
    <t>Portal shall have capability to display the data in user default language/ curreny /disply format</t>
  </si>
  <si>
    <t>All existing Customer Portal Widget/functions are expected along with global language, currency , exchange rate ,display format suppot in new portal</t>
  </si>
  <si>
    <t>Portal shall have capbility to define user profile with language ,currency , date format , number display formats (Decimel/thousand separator).</t>
  </si>
  <si>
    <t>WS1.00.1015</t>
  </si>
  <si>
    <t>WS1.00.1016</t>
  </si>
  <si>
    <t>All Fixed model  requirement should be included for Customer portal</t>
  </si>
  <si>
    <t>WS1.00.1017</t>
  </si>
  <si>
    <t>LFS User shall be able to access LFS Portal with a unique user name and password</t>
  </si>
  <si>
    <t>LFS User shall be able to view all assets connected with their accounts</t>
  </si>
  <si>
    <t>LFS User sjhall be able to filter the list of assets connected with their account</t>
  </si>
  <si>
    <t>LFS user shall be able to view metering data connected with their assets</t>
  </si>
  <si>
    <t xml:space="preserve">LFS user shall to be able to view billing data associated with their assets </t>
  </si>
  <si>
    <t>LFS Partner shall be able to view their End Custmesr with Usage as well as Billing details.</t>
  </si>
  <si>
    <t xml:space="preserve">LFS User shall be able to view customer details on double clicking the Customer on portal , </t>
  </si>
  <si>
    <t>LFS Portal shall be able to present portal text in multi-languages</t>
  </si>
  <si>
    <t>LFS portal shall consider Billing day on Contract for displaying monthly Uasge /Billing .</t>
  </si>
  <si>
    <t>All exsiting LFS Portal Widget/function are expected along with global language, currency , exchange rate ,display format suppot in new portal</t>
  </si>
  <si>
    <t xml:space="preserve">LFS user should be able to view Contract details , Historical Spend for Customer  as well as Invoice status </t>
  </si>
  <si>
    <t>LFS user shall be able to view client Asset Details</t>
  </si>
  <si>
    <t>LFS user shalll be able to open a support ticket, related to metering / billing data</t>
  </si>
  <si>
    <t>LFS Portal shall have capbility to define user profile with language ,currency , date format , number display formats (Decimel/thousand separator).</t>
  </si>
  <si>
    <t>LFS Portal shall have capability to display the data in user default language/ curreny /disply format</t>
  </si>
  <si>
    <t>LFS Portal shall consider user profile currency as the default currency to display the data on LFS portal. However the backend data should be stored in contract currency and should not be changed.</t>
  </si>
  <si>
    <t>Customer Portal shall be able to consider Billing day on Contract for Uasge /Billing .</t>
  </si>
  <si>
    <t>Customer portal shall be able to present content on Smaller screens</t>
  </si>
  <si>
    <t>LFS portal shall also be abe to display the data in uers desired currency.There should be an option to chose display currency on portal.</t>
  </si>
  <si>
    <t>LFS portal shall be able to present content on Smaller screens</t>
  </si>
  <si>
    <t>WS2.00.1018</t>
  </si>
  <si>
    <t>WS2.00.1019</t>
  </si>
  <si>
    <t>WS2.00.1020</t>
  </si>
  <si>
    <t>WS2.00.1021</t>
  </si>
  <si>
    <t>WS2.00.1022</t>
  </si>
  <si>
    <t>All Fixed model requirements should be included for LFS portal ( documented and shared separately)</t>
  </si>
  <si>
    <t xml:space="preserve">System shall have capability to support all countries and  languages </t>
  </si>
  <si>
    <t>System shall have capability to  support all global currency symbols ( including ISO symbols )</t>
  </si>
  <si>
    <t>Lenovo internal user shall be able to view data in contract currency. User should be able to view contracts in EUR/USD/DKK/RMB/INR irrespective of user profile.</t>
  </si>
  <si>
    <t>LFS User should have ability to select the currency on portal and be able to view data in requested currency. However the backend data should be stored in contract currency and should not be changed.   If LFS user doesn’t select any currency then data should be displayed /downloaded in LFS user profile currency.</t>
  </si>
  <si>
    <t>System shall  have capability to support all date formats  an should display the data the user profile date format.</t>
  </si>
  <si>
    <t>Once new exchange record is updated , then all historial exchange rate , billing calculation prior to that date should be locked and stored in the system .System shall have capability  to reference the historical exchange rate as and when needed.</t>
  </si>
  <si>
    <t>Lenovo follows the Bloomberg currency exchange rate and the same is maintained/updated in Lenovo’s financial system of records (SAP-ECC) once a month ( 26th of every month) . System shall have capability to upload Bloomberg exchange rate via the upload template or integrate with ECC to get the same . Also same should be referenced  for Portal display /reporting as and when needed/requested.</t>
  </si>
  <si>
    <r>
      <t xml:space="preserve">System shall have capability to display contract </t>
    </r>
    <r>
      <rPr>
        <sz val="11"/>
        <color rgb="FFFF0000"/>
        <rFont val="Calibri"/>
        <family val="2"/>
        <scheme val="minor"/>
      </rPr>
      <t>(Header and Line item)</t>
    </r>
    <r>
      <rPr>
        <sz val="11"/>
        <color theme="1"/>
        <rFont val="Calibri"/>
        <family val="2"/>
        <scheme val="minor"/>
      </rPr>
      <t xml:space="preserve"> data </t>
    </r>
  </si>
  <si>
    <r>
      <t>System shall have capability to display accounts/contacts/</t>
    </r>
    <r>
      <rPr>
        <sz val="11"/>
        <color rgb="FFFF0000"/>
        <rFont val="Calibri"/>
        <family val="2"/>
        <scheme val="minor"/>
      </rPr>
      <t>asset</t>
    </r>
    <r>
      <rPr>
        <sz val="11"/>
        <color theme="1"/>
        <rFont val="Calibri"/>
        <family val="2"/>
        <scheme val="minor"/>
      </rPr>
      <t xml:space="preserve"> locations</t>
    </r>
  </si>
  <si>
    <r>
      <t xml:space="preserve">System shall allow user to select a pre defined </t>
    </r>
    <r>
      <rPr>
        <sz val="11"/>
        <color rgb="FFFF0000"/>
        <rFont val="Calibri"/>
        <family val="2"/>
        <scheme val="minor"/>
      </rPr>
      <t>personalized</t>
    </r>
    <r>
      <rPr>
        <sz val="11"/>
        <color theme="1"/>
        <rFont val="Calibri"/>
        <family val="2"/>
        <scheme val="minor"/>
      </rPr>
      <t xml:space="preserve"> templates for each notification generated from the system. (For example: New user account, new partner account, contract expiration etc..)</t>
    </r>
  </si>
  <si>
    <t>System shall allow to update Personalized templates on needed base by Admin</t>
  </si>
  <si>
    <t>Admin person should have power user capability to add/update/remove any system functionality/data</t>
  </si>
  <si>
    <r>
      <t xml:space="preserve">System shall have capability to support all global currencies including no decimal currencies (eg. JPY, TWD, IND, KRW, CLP </t>
    </r>
    <r>
      <rPr>
        <sz val="11"/>
        <color rgb="FFFF0000"/>
        <rFont val="Calibri"/>
        <family val="2"/>
      </rPr>
      <t>etc.</t>
    </r>
    <r>
      <rPr>
        <sz val="11"/>
        <color rgb="FF000000"/>
        <rFont val="Calibri"/>
        <family val="2"/>
      </rPr>
      <t xml:space="preserve">) without any customization efforts. </t>
    </r>
    <r>
      <rPr>
        <sz val="11"/>
        <color rgb="FFFF0000"/>
        <rFont val="Calibri"/>
        <family val="2"/>
      </rPr>
      <t>Currency list to-be finalized depends to solution options.</t>
    </r>
  </si>
  <si>
    <r>
      <t xml:space="preserve">System shall have the capability to archive metering records upon specific time period </t>
    </r>
    <r>
      <rPr>
        <sz val="11"/>
        <color rgb="FFFF0000"/>
        <rFont val="Calibri"/>
        <family val="2"/>
        <scheme val="minor"/>
      </rPr>
      <t>and send archive data to target system/data base</t>
    </r>
    <r>
      <rPr>
        <sz val="11"/>
        <color theme="1"/>
        <rFont val="Calibri"/>
        <family val="2"/>
        <scheme val="minor"/>
      </rPr>
      <t xml:space="preserve"> </t>
    </r>
  </si>
  <si>
    <t xml:space="preserve">System should also have capability to change the node stage as and when required. Only Lenovo internal user should be able to change node stage.
The latest monthly node status should become the default stage for the succeeding month unless changed by CSM.
</t>
  </si>
  <si>
    <t xml:space="preserve">System should have capbility to capture Node Change  effective  Date </t>
  </si>
  <si>
    <t xml:space="preserve">System should have capability to store Node change history and Lenovo user should be able to download change report. Node Change History is also be required for calculating prorated Node Fee.
</t>
  </si>
  <si>
    <t xml:space="preserve">System should have capability to calculate prorated node fee for the month depending on node change effective date. Eg if the node status changes from Stand By to Scale on 16th of the month  , then customer should be charged Standby fee from 1st to 15th and Scale fee from 16th until end of the month.
Daily rate for proration should be calculated by dividing monthly rate by number of days in the month.
</t>
  </si>
  <si>
    <t>System should have capability to calculate Commit Fee , Scale-On Fee , Scale-Off Fee and Stand by Fee.</t>
  </si>
  <si>
    <t>WS1.02.1019</t>
  </si>
  <si>
    <t>WS1.02.1024</t>
  </si>
  <si>
    <t>WS1.02.1030</t>
  </si>
  <si>
    <t>WS1.02.1036</t>
  </si>
  <si>
    <t>WS1.02.1037</t>
  </si>
  <si>
    <t>WS1.02.1038</t>
  </si>
  <si>
    <t>System Shall have capability to capture Node Staga for Fixed Billing Model to support fixed billing model.Below flags are required for the identification of Node Stages.
1. Commit, 2.Scale-On 3.Scale Off 4.Standby</t>
  </si>
  <si>
    <t xml:space="preserve">Customer shall be able to View Node Mix for Fixed Metering model . Node Mix should replace metering /usage widget if Contract Type = Fixed.Node Mix will have all the 3 stages of Commit, Scale and Standby and their percentage to the total deployed machines.The node stage would be stored and read from HW Asset Table (Contract Item).
</t>
  </si>
  <si>
    <r>
      <t xml:space="preserve">Customer shall view current Spend chart  for Fixed model should replace existing spend chart with a Bar chart .Each  bar should represent Budget, Current Spend , Projected Spend and Average Spend (3 Months). 
</t>
    </r>
    <r>
      <rPr>
        <b/>
        <sz val="11"/>
        <color theme="1"/>
        <rFont val="Calibri"/>
        <family val="2"/>
        <scheme val="minor"/>
      </rPr>
      <t xml:space="preserve">Projected Spend </t>
    </r>
    <r>
      <rPr>
        <sz val="11"/>
        <color theme="1"/>
        <rFont val="Calibri"/>
        <family val="2"/>
        <scheme val="minor"/>
      </rPr>
      <t xml:space="preserve">: should be calculated on the basis of node stage on Day 1 of the billing cycle.
</t>
    </r>
    <r>
      <rPr>
        <b/>
        <sz val="11"/>
        <color theme="1"/>
        <rFont val="Calibri"/>
        <family val="2"/>
        <scheme val="minor"/>
      </rPr>
      <t xml:space="preserve">Current Spend </t>
    </r>
    <r>
      <rPr>
        <sz val="11"/>
        <color theme="1"/>
        <rFont val="Calibri"/>
        <family val="2"/>
        <scheme val="minor"/>
      </rPr>
      <t>: should be calculated and updated on the basis of node stage at any point of time and the same should be re-calculated and updated as and when any of the nodes stage is changed.
Average should be calculated as in metering model.</t>
    </r>
  </si>
  <si>
    <t xml:space="preserve">Customer shall be able to view Historic usage and Historic spend on the portal. </t>
  </si>
  <si>
    <t xml:space="preserve">For Fixed Billing Model Customer should be able to Historic usage by Node Type </t>
  </si>
  <si>
    <t>WS1.00.1018</t>
  </si>
  <si>
    <t>WS1.00.1019</t>
  </si>
  <si>
    <t>WS1.00.1020</t>
  </si>
  <si>
    <t>LFS user shall be able to see contract details. Contract Type Field is Required to differentiate between 'Fixed' and 'Metering' Contract Type on contract detail screen.</t>
  </si>
  <si>
    <t>LFS user shall be able to view Net Monthly ( Net Due to lenovo) Billing amount  as well as Historical Billing Amount should be displayed.Billing calculation for Metering as well as Fixed Contract type should be diaplayed.</t>
  </si>
  <si>
    <t>WS2.00.1023</t>
  </si>
  <si>
    <t>System shall have capability  to calculte minimum usage Commitment for each line item  by using formula provided.If there is any change to Asset Value , then minimum usage commitment shoould also be recalculated. However change should be captured in change history.</t>
  </si>
  <si>
    <t>System should have capability to apply one time fee on a specific billing month .</t>
  </si>
  <si>
    <t>WS1.02.1039</t>
  </si>
  <si>
    <t xml:space="preserve">LFS user shall be able to update the End Customer Invoice  and Payment status through Portal </t>
  </si>
  <si>
    <t>Customer shall be able to view billing data ( Customer Spend) associated with their assets. Customer Spend is mapped to otal Billing Amount.</t>
  </si>
  <si>
    <t>Customer shall be able to Create/Change Budget .</t>
  </si>
  <si>
    <t>LFS user shall be able to View End Customer Spend Vs Commitment . Commitment is mapped to Commit to LFS  whereas Spend is mapped to Total Billing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</si>
</sst>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5" formatCode="&quot;$&quot;#,##0_);\(&quot;$&quot;#,##0\)"/>
    <numFmt numFmtId="6" formatCode="&quot;$&quot;#,##0_);[Red]\(&quot;$&quot;#,##0\)"/>
    <numFmt numFmtId="164" formatCode="#0%_);\(#0%\)"/>
    <numFmt numFmtId="165" formatCode="&quot;$&quot;#,##0.000_);\(&quot;$&quot;#,##0.000\)"/>
    <numFmt numFmtId="166" formatCode="#0.0%_);\(#0.0%\)"/>
    <numFmt numFmtId="168" formatCode="#,##0.0000_);\(#,##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6"/>
      <color rgb="FF000000"/>
      <name val="Calibri"/>
      <family val="2"/>
    </font>
    <font>
      <sz val="11"/>
      <color rgb="FF000000"/>
      <name val="Calibri"/>
      <family val="2"/>
    </font>
    <font>
      <sz val="18"/>
      <color rgb="FF000000"/>
      <name val="Calibri"/>
      <family val="2"/>
    </font>
    <font>
      <sz val="12"/>
      <color rgb="FF000000"/>
      <name val="Calibri"/>
      <family val="2"/>
    </font>
    <font>
      <b/>
      <sz val="11"/>
      <color rgb="FF000000"/>
      <name val="Calibri"/>
      <family val="2"/>
    </font>
    <font>
      <b/>
      <sz val="11"/>
      <name val="Calibri"/>
      <family val="2"/>
    </font>
    <font>
      <i/>
      <sz val="11"/>
      <color theme="1"/>
      <name val="Calibri"/>
      <family val="2"/>
      <scheme val="minor"/>
    </font>
    <font>
      <b/>
      <u/>
      <sz val="11"/>
      <color theme="1"/>
      <name val="Calibri"/>
      <family val="2"/>
      <scheme val="minor"/>
    </font>
    <font>
      <sz val="11"/>
      <color indexed="8"/>
      <name val="Calibri"/>
      <family val="2"/>
      <scheme val="minor"/>
    </font>
    <font>
      <b/>
      <sz val="11"/>
      <color rgb="FFFF0000"/>
      <name val="Calibri"/>
      <family val="2"/>
      <scheme val="minor"/>
    </font>
    <font>
      <sz val="12"/>
      <color rgb="FF000000"/>
      <name val="Times New Roman"/>
      <family val="1"/>
    </font>
    <font>
      <b/>
      <sz val="12"/>
      <color rgb="FF000000"/>
      <name val="Times New Roman"/>
      <family val="1"/>
    </font>
    <font>
      <sz val="10"/>
      <color rgb="FF000000"/>
      <name val="Segoe UI"/>
      <family val="2"/>
    </font>
    <font>
      <b/>
      <u/>
      <sz val="14"/>
      <color rgb="FFFF0000"/>
      <name val="Calibri"/>
      <family val="2"/>
      <scheme val="minor"/>
    </font>
    <font>
      <b/>
      <sz val="11"/>
      <color rgb="FFFFFFFF"/>
      <name val="Calibri"/>
      <family val="2"/>
      <scheme val="minor"/>
    </font>
    <font>
      <strike/>
      <sz val="11"/>
      <color theme="1"/>
      <name val="Calibri"/>
      <family val="2"/>
      <scheme val="minor"/>
    </font>
    <font>
      <sz val="11"/>
      <color rgb="FFFF0000"/>
      <name val="Calibri"/>
      <family val="2"/>
      <scheme val="minor"/>
    </font>
    <font>
      <sz val="11"/>
      <color rgb="FFFF0000"/>
      <name val="Calibri"/>
      <family val="2"/>
    </font>
  </fonts>
  <fills count="11">
    <fill>
      <patternFill patternType="none"/>
    </fill>
    <fill>
      <patternFill patternType="gray125"/>
    </fill>
    <fill>
      <patternFill patternType="solid">
        <fgColor rgb="FFB4C6E7"/>
        <bgColor rgb="FFB4C6E7"/>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rgb="FFFFFFFF"/>
        <bgColor rgb="FFFFFFFF"/>
      </patternFill>
    </fill>
    <fill>
      <patternFill patternType="solid">
        <fgColor theme="0"/>
        <bgColor rgb="FFFF0000"/>
      </patternFill>
    </fill>
    <fill>
      <patternFill patternType="solid">
        <fgColor theme="0"/>
        <bgColor indexed="64"/>
      </patternFill>
    </fill>
    <fill>
      <patternFill patternType="solid">
        <fgColor rgb="FF4F81BD"/>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medium">
        <color rgb="FF4F81BD"/>
      </left>
      <right/>
      <top style="medium">
        <color rgb="FF4F81BD"/>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bottom/>
      <diagonal/>
    </border>
  </borders>
  <cellStyleXfs count="2">
    <xf numFmtId="0" fontId="0" fillId="0" borderId="0"/>
    <xf numFmtId="0" fontId="1" fillId="0" borderId="0"/>
  </cellStyleXfs>
  <cellXfs count="117">
    <xf numFmtId="0" fontId="0" fillId="0" borderId="0" xfId="0"/>
    <xf numFmtId="0" fontId="3" fillId="0" borderId="0" xfId="0" applyFont="1" applyAlignment="1"/>
    <xf numFmtId="0" fontId="0" fillId="0" borderId="0" xfId="0" applyFont="1" applyAlignment="1"/>
    <xf numFmtId="0" fontId="4" fillId="0" borderId="0" xfId="0" applyFont="1" applyAlignment="1"/>
    <xf numFmtId="0" fontId="4" fillId="0" borderId="0" xfId="0" applyFont="1" applyAlignment="1">
      <alignment vertical="center" wrapText="1"/>
    </xf>
    <xf numFmtId="0" fontId="4" fillId="0" borderId="0" xfId="0" applyFont="1" applyAlignment="1">
      <alignment vertical="center" wrapText="1" readingOrder="1"/>
    </xf>
    <xf numFmtId="0" fontId="4" fillId="0" borderId="0" xfId="0" applyFont="1" applyAlignment="1">
      <alignment vertical="center"/>
    </xf>
    <xf numFmtId="0" fontId="6" fillId="0" borderId="0" xfId="0" applyFont="1" applyAlignment="1">
      <alignment vertical="center"/>
    </xf>
    <xf numFmtId="0" fontId="0" fillId="0" borderId="0" xfId="0" applyFont="1" applyAlignment="1">
      <alignment vertical="center"/>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0" borderId="1" xfId="0" applyFont="1" applyFill="1" applyBorder="1" applyAlignment="1">
      <alignment horizontal="left" vertical="top"/>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left" vertical="top"/>
    </xf>
    <xf numFmtId="0" fontId="2" fillId="0" borderId="0" xfId="1" applyFont="1"/>
    <xf numFmtId="0" fontId="1" fillId="0" borderId="0" xfId="1"/>
    <xf numFmtId="0" fontId="1" fillId="0" borderId="0" xfId="1" applyFont="1"/>
    <xf numFmtId="0" fontId="2" fillId="0" borderId="0" xfId="1" applyFont="1" applyAlignment="1">
      <alignment horizontal="center"/>
    </xf>
    <xf numFmtId="164" fontId="1" fillId="4" borderId="0" xfId="1" applyNumberFormat="1" applyFill="1"/>
    <xf numFmtId="37" fontId="1" fillId="0" borderId="0" xfId="1" applyNumberFormat="1"/>
    <xf numFmtId="0" fontId="9" fillId="0" borderId="0" xfId="1" applyFont="1"/>
    <xf numFmtId="37" fontId="9" fillId="5" borderId="0" xfId="1" applyNumberFormat="1" applyFont="1" applyFill="1"/>
    <xf numFmtId="37" fontId="1" fillId="0" borderId="0" xfId="1" applyNumberFormat="1" applyFont="1"/>
    <xf numFmtId="37" fontId="1" fillId="4" borderId="0" xfId="1" applyNumberFormat="1" applyFill="1"/>
    <xf numFmtId="165" fontId="1" fillId="4" borderId="0" xfId="1" applyNumberFormat="1" applyFill="1"/>
    <xf numFmtId="164" fontId="9" fillId="5" borderId="0" xfId="1" applyNumberFormat="1" applyFont="1" applyFill="1"/>
    <xf numFmtId="166" fontId="9" fillId="0" borderId="0" xfId="1" applyNumberFormat="1" applyFont="1"/>
    <xf numFmtId="0" fontId="10" fillId="0" borderId="0" xfId="1" applyFont="1"/>
    <xf numFmtId="0" fontId="1" fillId="0" borderId="0" xfId="1" applyFont="1" applyFill="1" applyBorder="1"/>
    <xf numFmtId="5" fontId="1" fillId="0" borderId="0" xfId="1" applyNumberFormat="1" applyFill="1" applyBorder="1"/>
    <xf numFmtId="5" fontId="1" fillId="4" borderId="2" xfId="1" applyNumberFormat="1" applyFill="1" applyBorder="1"/>
    <xf numFmtId="5" fontId="1" fillId="4" borderId="3" xfId="1" applyNumberFormat="1" applyFill="1" applyBorder="1"/>
    <xf numFmtId="6" fontId="1" fillId="4" borderId="0" xfId="1" applyNumberFormat="1" applyFill="1"/>
    <xf numFmtId="5" fontId="1" fillId="5" borderId="0" xfId="1" applyNumberFormat="1" applyFill="1"/>
    <xf numFmtId="0" fontId="1" fillId="0" borderId="0" xfId="1" applyFont="1" applyAlignment="1">
      <alignment wrapText="1"/>
    </xf>
    <xf numFmtId="0" fontId="11" fillId="0" borderId="0" xfId="1" applyFont="1" applyFill="1"/>
    <xf numFmtId="5" fontId="11" fillId="3" borderId="0" xfId="1" applyNumberFormat="1" applyFont="1" applyFill="1"/>
    <xf numFmtId="5" fontId="1" fillId="3" borderId="0" xfId="1" applyNumberFormat="1" applyFill="1"/>
    <xf numFmtId="0" fontId="1" fillId="4" borderId="0" xfId="1" applyFont="1" applyFill="1"/>
    <xf numFmtId="0" fontId="1" fillId="3" borderId="0" xfId="1" applyFont="1" applyFill="1"/>
    <xf numFmtId="0" fontId="1" fillId="5" borderId="0" xfId="1" applyFont="1" applyFill="1"/>
    <xf numFmtId="0" fontId="12" fillId="0" borderId="0" xfId="1" applyFont="1"/>
    <xf numFmtId="0" fontId="13" fillId="0" borderId="0" xfId="0" applyFont="1" applyAlignment="1">
      <alignment vertical="center"/>
    </xf>
    <xf numFmtId="0" fontId="4" fillId="0" borderId="0" xfId="0" applyFont="1" applyAlignment="1">
      <alignment horizontal="left" vertical="center" indent="9"/>
    </xf>
    <xf numFmtId="0" fontId="7" fillId="2" borderId="4" xfId="0" applyFont="1" applyFill="1" applyBorder="1" applyAlignment="1">
      <alignment horizontal="center" vertical="center"/>
    </xf>
    <xf numFmtId="0" fontId="0" fillId="0" borderId="0" xfId="0" applyFont="1"/>
    <xf numFmtId="0" fontId="0" fillId="7" borderId="1" xfId="0" applyFont="1" applyFill="1" applyBorder="1" applyAlignment="1">
      <alignment horizontal="left" vertical="top"/>
    </xf>
    <xf numFmtId="0" fontId="0" fillId="0" borderId="6" xfId="0" applyFont="1" applyBorder="1" applyAlignment="1">
      <alignment horizontal="left" vertical="top"/>
    </xf>
    <xf numFmtId="0" fontId="0" fillId="0" borderId="5" xfId="0" applyFont="1" applyBorder="1"/>
    <xf numFmtId="0" fontId="0" fillId="0" borderId="5" xfId="0" applyFont="1" applyFill="1" applyBorder="1" applyAlignment="1">
      <alignment horizontal="left" vertical="top"/>
    </xf>
    <xf numFmtId="0" fontId="0" fillId="8" borderId="6" xfId="0" applyFont="1" applyFill="1" applyBorder="1" applyAlignment="1">
      <alignment horizontal="left" vertical="top"/>
    </xf>
    <xf numFmtId="0" fontId="0" fillId="9" borderId="5" xfId="0" applyFont="1" applyFill="1" applyBorder="1"/>
    <xf numFmtId="0" fontId="0" fillId="0" borderId="5" xfId="0" applyFont="1" applyFill="1" applyBorder="1" applyAlignment="1">
      <alignment horizontal="left" vertical="top" wrapText="1"/>
    </xf>
    <xf numFmtId="0" fontId="0" fillId="0" borderId="5" xfId="0" applyFont="1" applyBorder="1" applyAlignment="1">
      <alignment horizontal="left" vertical="top"/>
    </xf>
    <xf numFmtId="0" fontId="0" fillId="0" borderId="5" xfId="0" applyFont="1" applyBorder="1" applyAlignment="1">
      <alignment horizontal="left" vertical="top" wrapText="1"/>
    </xf>
    <xf numFmtId="0" fontId="0" fillId="0" borderId="7" xfId="0" applyFont="1" applyBorder="1" applyAlignment="1">
      <alignment horizontal="left" vertical="top"/>
    </xf>
    <xf numFmtId="37" fontId="0" fillId="0" borderId="0" xfId="1" applyNumberFormat="1" applyFont="1"/>
    <xf numFmtId="0" fontId="0" fillId="0" borderId="0" xfId="1" applyFont="1"/>
    <xf numFmtId="39" fontId="1" fillId="5" borderId="0" xfId="1" applyNumberFormat="1" applyFill="1"/>
    <xf numFmtId="39" fontId="1" fillId="6" borderId="0" xfId="1" applyNumberFormat="1" applyFill="1"/>
    <xf numFmtId="5" fontId="1" fillId="6" borderId="0" xfId="1" applyNumberFormat="1" applyFill="1"/>
    <xf numFmtId="0" fontId="16" fillId="0" borderId="0" xfId="1" applyFont="1"/>
    <xf numFmtId="0" fontId="0" fillId="0" borderId="5" xfId="0" applyFont="1" applyBorder="1" applyAlignment="1"/>
    <xf numFmtId="0" fontId="0" fillId="0" borderId="0" xfId="0" applyFont="1" applyBorder="1" applyAlignment="1">
      <alignment horizontal="left" vertical="top"/>
    </xf>
    <xf numFmtId="0" fontId="0" fillId="0" borderId="8" xfId="0" applyFont="1" applyBorder="1" applyAlignment="1">
      <alignment horizontal="left" vertical="top"/>
    </xf>
    <xf numFmtId="0" fontId="0" fillId="0" borderId="8" xfId="0" applyFont="1" applyBorder="1" applyAlignment="1">
      <alignment horizontal="left" vertical="top" wrapText="1"/>
    </xf>
    <xf numFmtId="0" fontId="0" fillId="6" borderId="0" xfId="0" applyFill="1"/>
    <xf numFmtId="0" fontId="0" fillId="0" borderId="0" xfId="0" applyFont="1" applyBorder="1" applyAlignment="1">
      <alignment horizontal="left" vertical="top" wrapText="1"/>
    </xf>
    <xf numFmtId="0" fontId="17" fillId="10" borderId="9" xfId="0" applyFont="1" applyFill="1" applyBorder="1" applyAlignment="1">
      <alignment horizontal="left" vertical="top" wrapText="1"/>
    </xf>
    <xf numFmtId="0" fontId="0" fillId="0" borderId="0" xfId="0" applyAlignment="1">
      <alignment vertical="center" wrapText="1"/>
    </xf>
    <xf numFmtId="0" fontId="0" fillId="0" borderId="0" xfId="0" applyAlignment="1">
      <alignment wrapText="1"/>
    </xf>
    <xf numFmtId="0" fontId="7" fillId="2" borderId="6" xfId="0" applyFont="1" applyFill="1" applyBorder="1" applyAlignment="1">
      <alignment horizontal="center" vertical="center"/>
    </xf>
    <xf numFmtId="0" fontId="0" fillId="0" borderId="5" xfId="0" applyBorder="1" applyAlignment="1">
      <alignment vertical="center" wrapText="1"/>
    </xf>
    <xf numFmtId="0" fontId="0" fillId="0" borderId="5" xfId="0" applyBorder="1" applyAlignment="1">
      <alignment wrapText="1"/>
    </xf>
    <xf numFmtId="0" fontId="0" fillId="9" borderId="5" xfId="0" applyFont="1" applyFill="1" applyBorder="1" applyAlignment="1">
      <alignment horizontal="left" vertical="top" wrapText="1"/>
    </xf>
    <xf numFmtId="0" fontId="0" fillId="0" borderId="1" xfId="0" applyFont="1" applyBorder="1" applyAlignment="1">
      <alignment horizontal="left" vertical="top"/>
    </xf>
    <xf numFmtId="0" fontId="0" fillId="0" borderId="1" xfId="0" applyFont="1" applyFill="1" applyBorder="1" applyAlignment="1">
      <alignment horizontal="left" vertical="top"/>
    </xf>
    <xf numFmtId="0" fontId="0" fillId="0" borderId="0" xfId="0" applyFont="1" applyAlignment="1">
      <alignment horizontal="left" vertical="top"/>
    </xf>
    <xf numFmtId="0" fontId="0" fillId="7" borderId="1" xfId="0" applyFont="1" applyFill="1" applyBorder="1" applyAlignment="1">
      <alignment horizontal="left" vertical="top"/>
    </xf>
    <xf numFmtId="0" fontId="0" fillId="0" borderId="6" xfId="0" applyFont="1" applyBorder="1" applyAlignment="1">
      <alignment horizontal="left" vertical="top"/>
    </xf>
    <xf numFmtId="0" fontId="18" fillId="0" borderId="1" xfId="0" applyFont="1" applyBorder="1" applyAlignment="1">
      <alignment horizontal="left" vertical="top"/>
    </xf>
    <xf numFmtId="0" fontId="19" fillId="0" borderId="1" xfId="0" applyFont="1" applyBorder="1" applyAlignment="1">
      <alignment horizontal="left" vertical="top"/>
    </xf>
    <xf numFmtId="0" fontId="0" fillId="6" borderId="0" xfId="0" applyFill="1" applyAlignment="1">
      <alignment vertical="center" wrapText="1"/>
    </xf>
    <xf numFmtId="0" fontId="0" fillId="0" borderId="5" xfId="0" applyBorder="1"/>
    <xf numFmtId="0" fontId="7" fillId="2" borderId="10" xfId="0" applyFont="1" applyFill="1" applyBorder="1" applyAlignment="1">
      <alignment horizontal="center" vertical="center"/>
    </xf>
    <xf numFmtId="0" fontId="0" fillId="9" borderId="11" xfId="0" applyFont="1" applyFill="1" applyBorder="1" applyAlignment="1">
      <alignment horizontal="left" vertical="top" wrapText="1"/>
    </xf>
    <xf numFmtId="0" fontId="0" fillId="0" borderId="11" xfId="0" applyFont="1" applyFill="1" applyBorder="1" applyAlignment="1">
      <alignment horizontal="left" vertical="top" wrapText="1"/>
    </xf>
    <xf numFmtId="0" fontId="0" fillId="0" borderId="11" xfId="0" applyBorder="1" applyAlignment="1">
      <alignment wrapText="1"/>
    </xf>
    <xf numFmtId="0" fontId="0" fillId="0" borderId="11" xfId="0" applyBorder="1"/>
    <xf numFmtId="0" fontId="7" fillId="2" borderId="5" xfId="0" applyFont="1" applyFill="1" applyBorder="1" applyAlignment="1">
      <alignment horizontal="center" vertical="center"/>
    </xf>
    <xf numFmtId="0" fontId="7"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0" fillId="6" borderId="5" xfId="0" applyFill="1" applyBorder="1"/>
    <xf numFmtId="0" fontId="0" fillId="0" borderId="1" xfId="0" applyFont="1" applyFill="1" applyBorder="1" applyAlignment="1">
      <alignment horizontal="left" vertical="top" wrapText="1"/>
    </xf>
    <xf numFmtId="0" fontId="0" fillId="0" borderId="0" xfId="0" applyFont="1" applyFill="1" applyAlignment="1">
      <alignment horizontal="left" vertical="top"/>
    </xf>
    <xf numFmtId="0" fontId="0" fillId="0" borderId="0" xfId="0" applyFont="1" applyFill="1" applyAlignment="1"/>
    <xf numFmtId="0" fontId="0" fillId="0" borderId="12" xfId="0" applyFont="1" applyFill="1" applyBorder="1" applyAlignment="1">
      <alignment horizontal="left" vertical="top"/>
    </xf>
    <xf numFmtId="0" fontId="0" fillId="0" borderId="4" xfId="0" applyFont="1" applyFill="1" applyBorder="1" applyAlignment="1">
      <alignment horizontal="left" vertical="top"/>
    </xf>
    <xf numFmtId="0" fontId="0" fillId="0" borderId="5" xfId="1" applyFont="1" applyBorder="1" applyAlignment="1">
      <alignment vertical="top" wrapText="1"/>
    </xf>
    <xf numFmtId="0" fontId="0" fillId="0" borderId="6" xfId="0" applyFont="1" applyFill="1" applyBorder="1" applyAlignment="1">
      <alignment horizontal="left" vertical="top" wrapText="1"/>
    </xf>
    <xf numFmtId="0" fontId="0" fillId="0" borderId="0" xfId="0" applyAlignment="1">
      <alignment vertical="top"/>
    </xf>
    <xf numFmtId="0" fontId="0" fillId="0" borderId="12" xfId="0" applyFont="1" applyBorder="1" applyAlignment="1">
      <alignment horizontal="left" vertical="top"/>
    </xf>
    <xf numFmtId="0" fontId="0" fillId="0" borderId="10" xfId="0" applyFont="1" applyBorder="1" applyAlignment="1">
      <alignment horizontal="left" vertical="top"/>
    </xf>
    <xf numFmtId="0" fontId="0" fillId="0" borderId="11" xfId="0" applyFont="1" applyBorder="1" applyAlignment="1">
      <alignment horizontal="left" vertical="top"/>
    </xf>
    <xf numFmtId="0" fontId="0" fillId="0" borderId="11" xfId="0" applyFont="1" applyBorder="1" applyAlignment="1">
      <alignment horizontal="left" vertical="top" wrapText="1"/>
    </xf>
    <xf numFmtId="0" fontId="0" fillId="0" borderId="4" xfId="0" applyFont="1" applyBorder="1" applyAlignment="1">
      <alignment horizontal="left" vertical="top"/>
    </xf>
    <xf numFmtId="0" fontId="0" fillId="0" borderId="8" xfId="0" applyFont="1" applyFill="1" applyBorder="1" applyAlignment="1">
      <alignment horizontal="left" vertical="top"/>
    </xf>
    <xf numFmtId="0" fontId="0" fillId="0" borderId="13" xfId="0" applyFont="1" applyBorder="1" applyAlignment="1">
      <alignment horizontal="left" vertical="top"/>
    </xf>
    <xf numFmtId="0" fontId="0" fillId="0" borderId="14" xfId="0" applyFont="1" applyBorder="1" applyAlignment="1">
      <alignment horizontal="left" vertical="top"/>
    </xf>
    <xf numFmtId="0" fontId="4" fillId="0" borderId="0" xfId="0" applyFont="1" applyFill="1" applyAlignment="1">
      <alignment vertical="center" wrapText="1"/>
    </xf>
    <xf numFmtId="0" fontId="0" fillId="0" borderId="0" xfId="0" applyFill="1"/>
    <xf numFmtId="0" fontId="19" fillId="0" borderId="5" xfId="0" applyFont="1" applyBorder="1"/>
    <xf numFmtId="0" fontId="19" fillId="0" borderId="5" xfId="0" applyFont="1" applyFill="1" applyBorder="1"/>
    <xf numFmtId="168" fontId="1" fillId="3" borderId="0" xfId="1" applyNumberFormat="1" applyFill="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31750</xdr:rowOff>
    </xdr:from>
    <xdr:to>
      <xdr:col>2</xdr:col>
      <xdr:colOff>2008022</xdr:colOff>
      <xdr:row>36</xdr:row>
      <xdr:rowOff>142338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9537700"/>
          <a:ext cx="5202072" cy="3609438"/>
        </a:xfrm>
        <a:prstGeom prst="rect">
          <a:avLst/>
        </a:prstGeom>
      </xdr:spPr>
    </xdr:pic>
    <xdr:clientData/>
  </xdr:twoCellAnchor>
  <xdr:twoCellAnchor editAs="oneCell">
    <xdr:from>
      <xdr:col>2</xdr:col>
      <xdr:colOff>2233510</xdr:colOff>
      <xdr:row>16</xdr:row>
      <xdr:rowOff>647700</xdr:rowOff>
    </xdr:from>
    <xdr:to>
      <xdr:col>3</xdr:col>
      <xdr:colOff>837701</xdr:colOff>
      <xdr:row>36</xdr:row>
      <xdr:rowOff>95250</xdr:rowOff>
    </xdr:to>
    <xdr:pic>
      <xdr:nvPicPr>
        <xdr:cNvPr id="3" name="Picture 2"/>
        <xdr:cNvPicPr>
          <a:picLocks noChangeAspect="1"/>
        </xdr:cNvPicPr>
      </xdr:nvPicPr>
      <xdr:blipFill>
        <a:blip xmlns:r="http://schemas.openxmlformats.org/officeDocument/2006/relationships" r:embed="rId2"/>
        <a:stretch>
          <a:fillRect/>
        </a:stretch>
      </xdr:blipFill>
      <xdr:spPr>
        <a:xfrm>
          <a:off x="4887810" y="9417050"/>
          <a:ext cx="5373291" cy="3594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topLeftCell="A6" workbookViewId="0">
      <selection activeCell="D7" sqref="D7"/>
    </sheetView>
  </sheetViews>
  <sheetFormatPr defaultColWidth="19" defaultRowHeight="14.5" x14ac:dyDescent="0.35"/>
  <cols>
    <col min="2" max="2" width="26.7265625" customWidth="1"/>
    <col min="3" max="3" width="96.90625" customWidth="1"/>
  </cols>
  <sheetData>
    <row r="1" spans="1:4" ht="21" x14ac:dyDescent="0.5">
      <c r="A1" s="1" t="s">
        <v>0</v>
      </c>
      <c r="B1" s="2"/>
      <c r="C1" s="2"/>
    </row>
    <row r="2" spans="1:4" x14ac:dyDescent="0.35">
      <c r="A2" s="12" t="s">
        <v>54</v>
      </c>
      <c r="B2" s="12" t="s">
        <v>55</v>
      </c>
      <c r="C2" s="12" t="s">
        <v>58</v>
      </c>
      <c r="D2" s="12"/>
    </row>
    <row r="3" spans="1:4" ht="15.5" x14ac:dyDescent="0.35">
      <c r="A3" s="7" t="s">
        <v>21</v>
      </c>
      <c r="B3" s="3" t="s">
        <v>1</v>
      </c>
      <c r="C3" s="3" t="s">
        <v>566</v>
      </c>
    </row>
    <row r="4" spans="1:4" ht="54" customHeight="1" x14ac:dyDescent="0.35">
      <c r="A4" s="7" t="s">
        <v>22</v>
      </c>
      <c r="B4" s="4" t="s">
        <v>2</v>
      </c>
      <c r="C4" s="5" t="s">
        <v>578</v>
      </c>
    </row>
    <row r="5" spans="1:4" ht="32.5" customHeight="1" x14ac:dyDescent="0.35">
      <c r="A5" s="8" t="s">
        <v>23</v>
      </c>
      <c r="B5" s="6" t="s">
        <v>3</v>
      </c>
      <c r="C5" s="5" t="s">
        <v>567</v>
      </c>
    </row>
    <row r="6" spans="1:4" ht="29" x14ac:dyDescent="0.35">
      <c r="A6" s="8" t="s">
        <v>24</v>
      </c>
      <c r="B6" s="6" t="s">
        <v>4</v>
      </c>
      <c r="C6" s="4" t="s">
        <v>568</v>
      </c>
    </row>
    <row r="7" spans="1:4" ht="43.5" x14ac:dyDescent="0.35">
      <c r="A7" s="8" t="s">
        <v>25</v>
      </c>
      <c r="B7" s="6" t="s">
        <v>5</v>
      </c>
      <c r="C7" s="5" t="s">
        <v>352</v>
      </c>
    </row>
    <row r="8" spans="1:4" ht="43.5" x14ac:dyDescent="0.35">
      <c r="A8" s="8" t="s">
        <v>26</v>
      </c>
      <c r="B8" s="6" t="s">
        <v>6</v>
      </c>
      <c r="C8" s="4" t="s">
        <v>569</v>
      </c>
    </row>
    <row r="9" spans="1:4" ht="43.5" x14ac:dyDescent="0.35">
      <c r="A9" s="8" t="s">
        <v>27</v>
      </c>
      <c r="B9" s="6" t="s">
        <v>7</v>
      </c>
      <c r="C9" s="4" t="s">
        <v>19</v>
      </c>
    </row>
    <row r="10" spans="1:4" ht="29" x14ac:dyDescent="0.35">
      <c r="A10" s="8" t="s">
        <v>28</v>
      </c>
      <c r="B10" s="4" t="s">
        <v>8</v>
      </c>
      <c r="C10" s="4" t="s">
        <v>20</v>
      </c>
    </row>
    <row r="11" spans="1:4" ht="43.5" x14ac:dyDescent="0.35">
      <c r="A11" s="8" t="s">
        <v>29</v>
      </c>
      <c r="B11" s="6" t="s">
        <v>9</v>
      </c>
      <c r="C11" s="4" t="s">
        <v>10</v>
      </c>
    </row>
    <row r="12" spans="1:4" ht="43.5" x14ac:dyDescent="0.35">
      <c r="A12" s="8" t="s">
        <v>30</v>
      </c>
      <c r="B12" s="6" t="s">
        <v>11</v>
      </c>
      <c r="C12" s="4" t="s">
        <v>17</v>
      </c>
    </row>
    <row r="13" spans="1:4" ht="61" customHeight="1" x14ac:dyDescent="0.35">
      <c r="A13" s="8" t="s">
        <v>31</v>
      </c>
      <c r="B13" s="4" t="s">
        <v>12</v>
      </c>
      <c r="C13" s="4" t="s">
        <v>572</v>
      </c>
    </row>
    <row r="14" spans="1:4" ht="50" customHeight="1" x14ac:dyDescent="0.35">
      <c r="A14" s="8" t="s">
        <v>32</v>
      </c>
      <c r="B14" s="6" t="s">
        <v>13</v>
      </c>
      <c r="C14" s="4" t="s">
        <v>571</v>
      </c>
    </row>
    <row r="15" spans="1:4" ht="87" x14ac:dyDescent="0.35">
      <c r="A15" s="8" t="s">
        <v>33</v>
      </c>
      <c r="B15" s="4" t="s">
        <v>14</v>
      </c>
      <c r="C15" s="4" t="s">
        <v>18</v>
      </c>
    </row>
    <row r="16" spans="1:4" s="113" customFormat="1" x14ac:dyDescent="0.35">
      <c r="A16" s="8" t="s">
        <v>34</v>
      </c>
      <c r="B16" s="112" t="s">
        <v>368</v>
      </c>
      <c r="C16" s="112" t="s">
        <v>570</v>
      </c>
    </row>
    <row r="17" spans="1:3" ht="43.5" x14ac:dyDescent="0.35">
      <c r="A17" s="8" t="s">
        <v>34</v>
      </c>
      <c r="B17" s="4" t="s">
        <v>15</v>
      </c>
      <c r="C17" s="4" t="s">
        <v>16</v>
      </c>
    </row>
    <row r="18" spans="1:3" x14ac:dyDescent="0.35">
      <c r="A18" s="2"/>
      <c r="B18" s="2"/>
      <c r="C18" s="2"/>
    </row>
    <row r="19" spans="1:3" x14ac:dyDescent="0.35">
      <c r="A19" s="2"/>
      <c r="B19" s="2"/>
      <c r="C19" s="2"/>
    </row>
    <row r="20" spans="1:3" x14ac:dyDescent="0.35">
      <c r="A20" s="2"/>
      <c r="B20" s="2"/>
      <c r="C20" s="2"/>
    </row>
    <row r="21" spans="1:3" x14ac:dyDescent="0.35">
      <c r="A21" s="2"/>
      <c r="B21" s="2"/>
      <c r="C21" s="2"/>
    </row>
    <row r="22" spans="1:3" x14ac:dyDescent="0.35">
      <c r="A22" s="2"/>
      <c r="B22" s="2"/>
      <c r="C22" s="2"/>
    </row>
    <row r="23" spans="1:3" x14ac:dyDescent="0.35">
      <c r="A23" s="2"/>
      <c r="B23" s="2"/>
      <c r="C23" s="2"/>
    </row>
    <row r="24" spans="1:3" x14ac:dyDescent="0.35">
      <c r="A24" s="2"/>
      <c r="B24" s="2"/>
      <c r="C24" s="2"/>
    </row>
    <row r="25" spans="1:3" x14ac:dyDescent="0.35">
      <c r="A25" s="2"/>
      <c r="B25" s="2"/>
      <c r="C25" s="2"/>
    </row>
    <row r="26" spans="1:3" x14ac:dyDescent="0.35">
      <c r="A26" s="2"/>
      <c r="B26" s="2"/>
      <c r="C26" s="2"/>
    </row>
    <row r="27" spans="1:3" x14ac:dyDescent="0.35">
      <c r="A27" s="2"/>
      <c r="B27" s="2"/>
      <c r="C27" s="2"/>
    </row>
    <row r="28" spans="1:3" x14ac:dyDescent="0.35">
      <c r="A28" s="2"/>
      <c r="B28" s="2"/>
      <c r="C28" s="2"/>
    </row>
    <row r="29" spans="1:3" x14ac:dyDescent="0.35">
      <c r="A29" s="2"/>
      <c r="B29" s="2"/>
      <c r="C29" s="2"/>
    </row>
    <row r="30" spans="1:3" x14ac:dyDescent="0.35">
      <c r="A30" s="2"/>
      <c r="B30" s="2"/>
      <c r="C30" s="2"/>
    </row>
    <row r="31" spans="1:3" x14ac:dyDescent="0.35">
      <c r="A31" s="2"/>
      <c r="B31" s="2"/>
      <c r="C31" s="2"/>
    </row>
    <row r="32" spans="1:3" x14ac:dyDescent="0.35">
      <c r="A32" s="2"/>
      <c r="B32" s="2"/>
      <c r="C32" s="2"/>
    </row>
    <row r="33" spans="1:3" x14ac:dyDescent="0.35">
      <c r="A33" s="2"/>
      <c r="B33" s="2"/>
      <c r="C33" s="2"/>
    </row>
    <row r="34" spans="1:3" x14ac:dyDescent="0.35">
      <c r="A34" s="2"/>
      <c r="B34" s="2"/>
      <c r="C34" s="2"/>
    </row>
    <row r="35" spans="1:3" x14ac:dyDescent="0.35">
      <c r="A35" s="2"/>
      <c r="B35" s="2"/>
      <c r="C35" s="2"/>
    </row>
    <row r="36" spans="1:3" x14ac:dyDescent="0.35">
      <c r="A36" s="2"/>
      <c r="B36" s="2"/>
      <c r="C36" s="2"/>
    </row>
    <row r="37" spans="1:3" x14ac:dyDescent="0.35">
      <c r="A37" s="2"/>
      <c r="B37" s="2"/>
      <c r="C37" s="2"/>
    </row>
    <row r="38" spans="1:3" x14ac:dyDescent="0.35">
      <c r="A38" s="2"/>
      <c r="B38" s="2"/>
      <c r="C38" s="2"/>
    </row>
    <row r="39" spans="1:3" x14ac:dyDescent="0.35">
      <c r="A39" s="2"/>
      <c r="B39" s="2"/>
      <c r="C39" s="2"/>
    </row>
    <row r="40" spans="1:3" x14ac:dyDescent="0.35">
      <c r="A40" s="2"/>
      <c r="B40" s="2"/>
      <c r="C40" s="2"/>
    </row>
    <row r="41" spans="1:3" x14ac:dyDescent="0.35">
      <c r="A41" s="2"/>
      <c r="B41" s="2"/>
      <c r="C41" s="2"/>
    </row>
    <row r="42" spans="1:3" x14ac:dyDescent="0.35">
      <c r="A42" s="2"/>
      <c r="B42" s="2"/>
      <c r="C42"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opLeftCell="A6" workbookViewId="0">
      <selection activeCell="B21" sqref="B21"/>
    </sheetView>
  </sheetViews>
  <sheetFormatPr defaultColWidth="20.81640625" defaultRowHeight="14.5" x14ac:dyDescent="0.35"/>
  <cols>
    <col min="3" max="3" width="0" hidden="1" customWidth="1"/>
    <col min="4" max="4" width="69.54296875" customWidth="1"/>
    <col min="5" max="5" width="45.6328125" hidden="1" customWidth="1"/>
    <col min="6" max="6" width="40.26953125" hidden="1" customWidth="1"/>
    <col min="7" max="7" width="28.6328125" hidden="1" customWidth="1"/>
    <col min="8" max="8" width="16" customWidth="1"/>
  </cols>
  <sheetData>
    <row r="1" spans="1:12" x14ac:dyDescent="0.35">
      <c r="A1" s="74" t="s">
        <v>54</v>
      </c>
      <c r="B1" s="74" t="s">
        <v>55</v>
      </c>
      <c r="C1" s="74" t="s">
        <v>57</v>
      </c>
      <c r="D1" s="87" t="s">
        <v>58</v>
      </c>
      <c r="E1" s="92" t="s">
        <v>59</v>
      </c>
      <c r="F1" s="92" t="s">
        <v>47</v>
      </c>
      <c r="G1" s="92" t="s">
        <v>48</v>
      </c>
      <c r="H1" s="92" t="s">
        <v>49</v>
      </c>
      <c r="I1" s="92" t="s">
        <v>50</v>
      </c>
      <c r="J1" s="92" t="s">
        <v>51</v>
      </c>
      <c r="K1" s="93" t="s">
        <v>52</v>
      </c>
      <c r="L1" s="92" t="s">
        <v>53</v>
      </c>
    </row>
    <row r="2" spans="1:12" x14ac:dyDescent="0.35">
      <c r="A2" s="75" t="s">
        <v>306</v>
      </c>
      <c r="B2" s="75" t="s">
        <v>401</v>
      </c>
      <c r="C2" s="75" t="s">
        <v>401</v>
      </c>
      <c r="D2" s="88" t="s">
        <v>437</v>
      </c>
      <c r="E2" s="94"/>
      <c r="F2" s="92"/>
      <c r="G2" s="92"/>
      <c r="H2" s="92"/>
      <c r="I2" s="92"/>
      <c r="J2" s="92"/>
      <c r="K2" s="93"/>
      <c r="L2" s="92"/>
    </row>
    <row r="3" spans="1:12" x14ac:dyDescent="0.35">
      <c r="A3" s="75" t="s">
        <v>309</v>
      </c>
      <c r="B3" s="75" t="s">
        <v>401</v>
      </c>
      <c r="C3" s="75" t="s">
        <v>401</v>
      </c>
      <c r="D3" s="88" t="s">
        <v>402</v>
      </c>
      <c r="E3" s="94"/>
      <c r="F3" s="92"/>
      <c r="G3" s="92"/>
      <c r="H3" s="92"/>
      <c r="I3" s="92"/>
      <c r="J3" s="92"/>
      <c r="K3" s="93"/>
      <c r="L3" s="92"/>
    </row>
    <row r="4" spans="1:12" x14ac:dyDescent="0.35">
      <c r="A4" s="75" t="s">
        <v>312</v>
      </c>
      <c r="B4" s="75" t="s">
        <v>401</v>
      </c>
      <c r="C4" s="75" t="s">
        <v>401</v>
      </c>
      <c r="D4" s="88" t="s">
        <v>438</v>
      </c>
      <c r="E4" s="94"/>
      <c r="F4" s="92"/>
      <c r="G4" s="92"/>
      <c r="H4" s="92"/>
      <c r="I4" s="92"/>
      <c r="J4" s="92"/>
      <c r="K4" s="93"/>
      <c r="L4" s="92"/>
    </row>
    <row r="5" spans="1:12" x14ac:dyDescent="0.35">
      <c r="A5" s="75" t="s">
        <v>313</v>
      </c>
      <c r="B5" s="75" t="s">
        <v>401</v>
      </c>
      <c r="C5" s="75" t="s">
        <v>401</v>
      </c>
      <c r="D5" s="88" t="s">
        <v>464</v>
      </c>
      <c r="E5" s="94"/>
      <c r="F5" s="92"/>
      <c r="G5" s="92"/>
      <c r="H5" s="92"/>
      <c r="I5" s="92"/>
      <c r="J5" s="92"/>
      <c r="K5" s="93"/>
      <c r="L5" s="92"/>
    </row>
    <row r="6" spans="1:12" ht="29" x14ac:dyDescent="0.35">
      <c r="A6" s="75" t="s">
        <v>314</v>
      </c>
      <c r="B6" s="75" t="s">
        <v>401</v>
      </c>
      <c r="C6" s="75" t="s">
        <v>401</v>
      </c>
      <c r="D6" s="88" t="s">
        <v>467</v>
      </c>
      <c r="E6" s="94"/>
      <c r="F6" s="92"/>
      <c r="G6" s="92"/>
      <c r="H6" s="92"/>
      <c r="I6" s="92"/>
      <c r="J6" s="92"/>
      <c r="K6" s="93"/>
      <c r="L6" s="92"/>
    </row>
    <row r="7" spans="1:12" x14ac:dyDescent="0.35">
      <c r="A7" s="75" t="s">
        <v>316</v>
      </c>
      <c r="B7" s="75" t="s">
        <v>401</v>
      </c>
      <c r="C7" s="75" t="s">
        <v>401</v>
      </c>
      <c r="D7" s="89" t="s">
        <v>468</v>
      </c>
      <c r="E7" s="94"/>
      <c r="F7" s="92"/>
      <c r="G7" s="92"/>
      <c r="H7" s="92"/>
      <c r="I7" s="92"/>
      <c r="J7" s="92"/>
      <c r="K7" s="93"/>
      <c r="L7" s="92"/>
    </row>
    <row r="8" spans="1:12" ht="43.5" x14ac:dyDescent="0.35">
      <c r="A8" s="75" t="s">
        <v>317</v>
      </c>
      <c r="B8" s="76" t="s">
        <v>367</v>
      </c>
      <c r="C8" s="76" t="s">
        <v>367</v>
      </c>
      <c r="D8" s="90" t="s">
        <v>469</v>
      </c>
      <c r="E8" s="76" t="s">
        <v>398</v>
      </c>
      <c r="F8" s="56"/>
      <c r="G8" s="56"/>
      <c r="H8" s="56"/>
      <c r="I8" s="56"/>
      <c r="J8" s="86"/>
      <c r="K8" s="86"/>
      <c r="L8" s="86"/>
    </row>
    <row r="9" spans="1:12" s="69" customFormat="1" ht="29" x14ac:dyDescent="0.35">
      <c r="A9" s="75" t="s">
        <v>319</v>
      </c>
      <c r="B9" s="76" t="s">
        <v>367</v>
      </c>
      <c r="C9" s="76" t="s">
        <v>367</v>
      </c>
      <c r="D9" s="90" t="s">
        <v>366</v>
      </c>
      <c r="E9" s="76" t="s">
        <v>399</v>
      </c>
      <c r="F9" s="95"/>
      <c r="G9" s="95"/>
      <c r="H9" s="95"/>
      <c r="I9" s="95"/>
      <c r="J9" s="95"/>
      <c r="K9" s="95"/>
      <c r="L9" s="95"/>
    </row>
    <row r="10" spans="1:12" x14ac:dyDescent="0.35">
      <c r="A10" s="75" t="s">
        <v>321</v>
      </c>
      <c r="B10" s="75" t="s">
        <v>401</v>
      </c>
      <c r="C10" s="75" t="s">
        <v>401</v>
      </c>
      <c r="D10" s="91" t="s">
        <v>573</v>
      </c>
      <c r="E10" s="86"/>
      <c r="F10" s="86"/>
      <c r="G10" s="86"/>
      <c r="H10" s="86"/>
      <c r="I10" s="86"/>
      <c r="J10" s="86"/>
      <c r="K10" s="86"/>
      <c r="L10" s="86"/>
    </row>
    <row r="11" spans="1:12" x14ac:dyDescent="0.35">
      <c r="A11" s="75" t="s">
        <v>323</v>
      </c>
      <c r="B11" s="75" t="s">
        <v>401</v>
      </c>
      <c r="C11" s="75" t="s">
        <v>401</v>
      </c>
      <c r="D11" s="91" t="s">
        <v>574</v>
      </c>
      <c r="E11" s="86"/>
      <c r="F11" s="86"/>
      <c r="G11" s="86"/>
      <c r="H11" s="86"/>
      <c r="I11" s="86"/>
      <c r="J11" s="86"/>
      <c r="K11" s="86"/>
      <c r="L11" s="86"/>
    </row>
    <row r="12" spans="1:12" x14ac:dyDescent="0.35">
      <c r="A12" s="75" t="s">
        <v>353</v>
      </c>
      <c r="B12" s="75" t="s">
        <v>401</v>
      </c>
      <c r="C12" s="75" t="s">
        <v>401</v>
      </c>
      <c r="D12" s="91" t="s">
        <v>471</v>
      </c>
      <c r="E12" s="86"/>
      <c r="F12" s="86"/>
      <c r="G12" s="86"/>
      <c r="H12" s="86"/>
      <c r="I12" s="86"/>
      <c r="J12" s="86"/>
      <c r="K12" s="86"/>
      <c r="L12" s="86"/>
    </row>
    <row r="13" spans="1:12" x14ac:dyDescent="0.35">
      <c r="A13" s="75" t="s">
        <v>35</v>
      </c>
      <c r="B13" s="75" t="s">
        <v>401</v>
      </c>
      <c r="C13" s="75" t="s">
        <v>401</v>
      </c>
      <c r="D13" s="91" t="s">
        <v>470</v>
      </c>
      <c r="E13" s="86"/>
      <c r="F13" s="86"/>
      <c r="G13" s="86"/>
      <c r="H13" s="86"/>
      <c r="I13" s="86"/>
      <c r="J13" s="86"/>
      <c r="K13" s="86"/>
      <c r="L13" s="86"/>
    </row>
    <row r="14" spans="1:12" ht="43.5" x14ac:dyDescent="0.35">
      <c r="A14" s="75" t="s">
        <v>37</v>
      </c>
      <c r="B14" s="75" t="s">
        <v>401</v>
      </c>
      <c r="C14" s="75" t="s">
        <v>401</v>
      </c>
      <c r="D14" s="75" t="s">
        <v>575</v>
      </c>
      <c r="E14" s="86"/>
      <c r="F14" s="86"/>
      <c r="G14" s="86"/>
      <c r="H14" s="86"/>
      <c r="I14" s="86"/>
      <c r="J14" s="86"/>
      <c r="K14" s="86"/>
      <c r="L14" s="86"/>
    </row>
    <row r="15" spans="1:12" x14ac:dyDescent="0.35">
      <c r="A15" s="75" t="s">
        <v>38</v>
      </c>
      <c r="B15" s="75" t="s">
        <v>401</v>
      </c>
      <c r="C15" s="75" t="s">
        <v>401</v>
      </c>
      <c r="D15" s="86" t="s">
        <v>472</v>
      </c>
      <c r="E15" s="86"/>
      <c r="F15" s="86"/>
      <c r="G15" s="86"/>
      <c r="H15" s="86"/>
      <c r="I15" s="86"/>
      <c r="J15" s="86"/>
      <c r="K15" s="86"/>
      <c r="L15" s="86"/>
    </row>
    <row r="16" spans="1:12" x14ac:dyDescent="0.35">
      <c r="A16" s="75" t="s">
        <v>536</v>
      </c>
      <c r="B16" s="75" t="s">
        <v>401</v>
      </c>
      <c r="D16" s="114" t="s">
        <v>576</v>
      </c>
      <c r="E16" s="86"/>
      <c r="F16" s="86"/>
      <c r="G16" s="86"/>
      <c r="H16" s="86"/>
      <c r="I16" s="86"/>
      <c r="J16" s="86"/>
      <c r="K16" s="86"/>
      <c r="L16" s="86"/>
    </row>
    <row r="17" spans="1:12" x14ac:dyDescent="0.35">
      <c r="A17" s="75" t="s">
        <v>537</v>
      </c>
      <c r="B17" s="75" t="s">
        <v>401</v>
      </c>
      <c r="D17" s="115" t="s">
        <v>577</v>
      </c>
      <c r="E17" s="86"/>
      <c r="F17" s="86"/>
      <c r="G17" s="86"/>
      <c r="H17" s="86"/>
      <c r="I17" s="86"/>
      <c r="J17" s="86"/>
      <c r="K17" s="86"/>
      <c r="L17" s="8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6"/>
  <sheetViews>
    <sheetView workbookViewId="0">
      <selection activeCell="F16" sqref="F16"/>
    </sheetView>
  </sheetViews>
  <sheetFormatPr defaultColWidth="14.453125" defaultRowHeight="14.5" x14ac:dyDescent="0.35"/>
  <cols>
    <col min="1" max="1" width="15.1796875" style="2" customWidth="1"/>
    <col min="2" max="2" width="19.453125" style="2" customWidth="1"/>
    <col min="3" max="3" width="18.1796875" style="2" hidden="1" customWidth="1"/>
    <col min="4" max="4" width="77.81640625" style="2" hidden="1" customWidth="1"/>
    <col min="5" max="5" width="88.1796875" style="2" hidden="1" customWidth="1"/>
    <col min="6" max="6" width="105.81640625" style="2" customWidth="1"/>
    <col min="7" max="7" width="9.1796875" style="2" customWidth="1"/>
    <col min="8" max="8" width="60.1796875" style="2" customWidth="1"/>
    <col min="9" max="15" width="9.1796875" style="2" customWidth="1"/>
    <col min="16" max="16" width="13.453125" style="2" customWidth="1"/>
    <col min="17" max="17" width="9.1796875" style="2" customWidth="1"/>
    <col min="18" max="26" width="8.81640625" style="2" customWidth="1"/>
    <col min="27" max="16384" width="14.453125" style="2"/>
  </cols>
  <sheetData>
    <row r="1" spans="1:26" ht="29" x14ac:dyDescent="0.35">
      <c r="A1" s="12" t="s">
        <v>54</v>
      </c>
      <c r="B1" s="12" t="s">
        <v>55</v>
      </c>
      <c r="C1" s="12" t="s">
        <v>56</v>
      </c>
      <c r="D1" s="12" t="s">
        <v>57</v>
      </c>
      <c r="E1" s="12" t="s">
        <v>58</v>
      </c>
      <c r="F1" s="12" t="s">
        <v>59</v>
      </c>
      <c r="G1" s="12" t="s">
        <v>41</v>
      </c>
      <c r="H1" s="12" t="s">
        <v>42</v>
      </c>
      <c r="I1" s="12" t="s">
        <v>45</v>
      </c>
      <c r="J1" s="14" t="s">
        <v>46</v>
      </c>
      <c r="K1" s="12" t="s">
        <v>47</v>
      </c>
      <c r="L1" s="12" t="s">
        <v>48</v>
      </c>
      <c r="M1" s="12" t="s">
        <v>49</v>
      </c>
      <c r="N1" s="12" t="s">
        <v>50</v>
      </c>
      <c r="O1" s="12" t="s">
        <v>51</v>
      </c>
      <c r="P1" s="13" t="s">
        <v>52</v>
      </c>
      <c r="Q1" s="12" t="s">
        <v>53</v>
      </c>
      <c r="R1" s="15"/>
      <c r="S1" s="15"/>
      <c r="T1" s="15"/>
      <c r="U1" s="15"/>
      <c r="V1" s="15"/>
      <c r="W1" s="15"/>
      <c r="X1" s="15"/>
      <c r="Y1" s="15"/>
      <c r="Z1" s="15"/>
    </row>
    <row r="2" spans="1:26" x14ac:dyDescent="0.35">
      <c r="A2" s="9" t="s">
        <v>62</v>
      </c>
      <c r="B2" s="9" t="s">
        <v>60</v>
      </c>
      <c r="C2" s="9" t="s">
        <v>63</v>
      </c>
      <c r="D2" s="9" t="s">
        <v>64</v>
      </c>
      <c r="E2" s="9" t="s">
        <v>65</v>
      </c>
      <c r="F2" s="9" t="s">
        <v>475</v>
      </c>
      <c r="G2" s="9" t="s">
        <v>61</v>
      </c>
      <c r="H2" s="9"/>
      <c r="I2" s="9"/>
      <c r="J2" s="9"/>
      <c r="K2" s="9"/>
      <c r="L2" s="9"/>
      <c r="M2" s="9"/>
      <c r="N2" s="9"/>
      <c r="O2" s="9"/>
      <c r="P2" s="9"/>
      <c r="Q2" s="9"/>
      <c r="R2" s="16"/>
      <c r="S2" s="16"/>
      <c r="T2" s="16"/>
      <c r="U2" s="16"/>
      <c r="V2" s="16"/>
      <c r="W2" s="16"/>
      <c r="X2" s="16"/>
      <c r="Y2" s="16"/>
      <c r="Z2" s="16"/>
    </row>
    <row r="3" spans="1:26" x14ac:dyDescent="0.35">
      <c r="A3" s="78" t="s">
        <v>480</v>
      </c>
      <c r="B3" s="78" t="s">
        <v>60</v>
      </c>
      <c r="C3" s="78"/>
      <c r="D3" s="78"/>
      <c r="E3" s="78"/>
      <c r="F3" s="78" t="s">
        <v>474</v>
      </c>
      <c r="G3" s="78" t="s">
        <v>61</v>
      </c>
      <c r="H3" s="78"/>
      <c r="I3" s="78"/>
      <c r="J3" s="78"/>
      <c r="K3" s="78"/>
      <c r="L3" s="78"/>
      <c r="M3" s="78"/>
      <c r="N3" s="78"/>
      <c r="O3" s="78"/>
      <c r="P3" s="78"/>
      <c r="Q3" s="78"/>
      <c r="R3" s="80"/>
      <c r="S3" s="80"/>
      <c r="T3" s="80"/>
      <c r="U3" s="80"/>
      <c r="V3" s="80"/>
      <c r="W3" s="80"/>
      <c r="X3" s="80"/>
      <c r="Y3" s="80"/>
      <c r="Z3" s="80"/>
    </row>
    <row r="4" spans="1:26" x14ac:dyDescent="0.35">
      <c r="A4" s="78" t="s">
        <v>481</v>
      </c>
      <c r="B4" s="9" t="s">
        <v>60</v>
      </c>
      <c r="C4" s="9" t="s">
        <v>67</v>
      </c>
      <c r="D4" s="9" t="s">
        <v>403</v>
      </c>
      <c r="E4" s="9" t="s">
        <v>404</v>
      </c>
      <c r="F4" s="9" t="s">
        <v>476</v>
      </c>
      <c r="G4" s="9" t="s">
        <v>61</v>
      </c>
      <c r="H4" s="9"/>
      <c r="I4" s="9"/>
      <c r="J4" s="9"/>
      <c r="K4" s="9"/>
      <c r="L4" s="9"/>
      <c r="M4" s="9"/>
      <c r="N4" s="9"/>
      <c r="O4" s="9"/>
      <c r="P4" s="9"/>
      <c r="Q4" s="9"/>
      <c r="R4" s="16"/>
      <c r="S4" s="16"/>
      <c r="T4" s="16"/>
      <c r="U4" s="16"/>
      <c r="V4" s="16"/>
      <c r="W4" s="16"/>
      <c r="X4" s="16"/>
      <c r="Y4" s="16"/>
      <c r="Z4" s="16"/>
    </row>
    <row r="5" spans="1:26" x14ac:dyDescent="0.35">
      <c r="A5" s="78" t="s">
        <v>66</v>
      </c>
      <c r="B5" s="9" t="s">
        <v>60</v>
      </c>
      <c r="C5" s="9" t="s">
        <v>67</v>
      </c>
      <c r="D5" s="9" t="s">
        <v>69</v>
      </c>
      <c r="E5" s="9" t="s">
        <v>405</v>
      </c>
      <c r="F5" s="78" t="s">
        <v>486</v>
      </c>
      <c r="G5" s="9" t="s">
        <v>61</v>
      </c>
      <c r="H5" s="9"/>
      <c r="I5" s="9"/>
      <c r="J5" s="9"/>
      <c r="K5" s="9"/>
      <c r="L5" s="9"/>
      <c r="M5" s="9"/>
      <c r="N5" s="9"/>
      <c r="O5" s="9"/>
      <c r="P5" s="9"/>
      <c r="Q5" s="9"/>
      <c r="R5" s="16"/>
      <c r="S5" s="16"/>
      <c r="T5" s="16"/>
      <c r="U5" s="16"/>
      <c r="V5" s="16"/>
      <c r="W5" s="16"/>
      <c r="X5" s="16"/>
      <c r="Y5" s="16"/>
      <c r="Z5" s="16"/>
    </row>
    <row r="6" spans="1:26" x14ac:dyDescent="0.35">
      <c r="A6" s="78" t="s">
        <v>68</v>
      </c>
      <c r="B6" s="78" t="s">
        <v>60</v>
      </c>
      <c r="C6" s="78"/>
      <c r="D6" s="78"/>
      <c r="E6" s="78"/>
      <c r="F6" s="78" t="s">
        <v>479</v>
      </c>
      <c r="G6" s="78" t="s">
        <v>61</v>
      </c>
      <c r="H6" s="78"/>
      <c r="I6" s="78"/>
      <c r="J6" s="78"/>
      <c r="K6" s="78"/>
      <c r="L6" s="78"/>
      <c r="M6" s="78"/>
      <c r="N6" s="78"/>
      <c r="O6" s="78"/>
      <c r="P6" s="78"/>
      <c r="Q6" s="78"/>
      <c r="R6" s="80"/>
      <c r="S6" s="80"/>
      <c r="T6" s="80"/>
      <c r="U6" s="80"/>
      <c r="V6" s="80"/>
      <c r="W6" s="80"/>
      <c r="X6" s="80"/>
      <c r="Y6" s="80"/>
      <c r="Z6" s="80"/>
    </row>
    <row r="7" spans="1:26" ht="29" x14ac:dyDescent="0.35">
      <c r="A7" s="78" t="s">
        <v>482</v>
      </c>
      <c r="B7" s="78" t="s">
        <v>60</v>
      </c>
      <c r="C7" s="78"/>
      <c r="D7" s="78"/>
      <c r="E7" s="78"/>
      <c r="F7" s="10" t="s">
        <v>508</v>
      </c>
      <c r="G7" s="78" t="s">
        <v>61</v>
      </c>
      <c r="H7" s="78"/>
      <c r="I7" s="78"/>
      <c r="J7" s="78"/>
      <c r="K7" s="78"/>
      <c r="L7" s="78"/>
      <c r="M7" s="78"/>
      <c r="N7" s="78"/>
      <c r="O7" s="78"/>
      <c r="P7" s="78"/>
      <c r="Q7" s="78"/>
      <c r="R7" s="80"/>
      <c r="S7" s="80"/>
      <c r="T7" s="80"/>
      <c r="U7" s="80"/>
      <c r="V7" s="80"/>
      <c r="W7" s="80"/>
      <c r="X7" s="80"/>
      <c r="Y7" s="80"/>
      <c r="Z7" s="80"/>
    </row>
    <row r="8" spans="1:26" x14ac:dyDescent="0.35">
      <c r="A8" s="78" t="s">
        <v>483</v>
      </c>
      <c r="B8" s="78" t="s">
        <v>60</v>
      </c>
      <c r="C8" s="78"/>
      <c r="D8" s="78"/>
      <c r="E8" s="78"/>
      <c r="F8" s="78" t="s">
        <v>477</v>
      </c>
      <c r="G8" s="78" t="s">
        <v>61</v>
      </c>
      <c r="H8" s="78"/>
      <c r="I8" s="78"/>
      <c r="J8" s="78"/>
      <c r="K8" s="78"/>
      <c r="L8" s="78"/>
      <c r="M8" s="78"/>
      <c r="N8" s="78"/>
      <c r="O8" s="78"/>
      <c r="P8" s="78"/>
      <c r="Q8" s="78"/>
      <c r="R8" s="80"/>
      <c r="S8" s="80"/>
      <c r="T8" s="80"/>
      <c r="U8" s="80"/>
      <c r="V8" s="80"/>
      <c r="W8" s="80"/>
      <c r="X8" s="80"/>
      <c r="Y8" s="80"/>
      <c r="Z8" s="80"/>
    </row>
    <row r="9" spans="1:26" x14ac:dyDescent="0.35">
      <c r="A9" s="78" t="s">
        <v>484</v>
      </c>
      <c r="B9" s="78" t="s">
        <v>60</v>
      </c>
      <c r="C9" s="78"/>
      <c r="D9" s="78"/>
      <c r="E9" s="78"/>
      <c r="F9" s="78" t="s">
        <v>478</v>
      </c>
      <c r="G9" s="78" t="s">
        <v>61</v>
      </c>
      <c r="H9" s="78"/>
      <c r="I9" s="78"/>
      <c r="J9" s="78"/>
      <c r="K9" s="78"/>
      <c r="L9" s="78"/>
      <c r="M9" s="78"/>
      <c r="N9" s="78"/>
      <c r="O9" s="78"/>
      <c r="P9" s="78"/>
      <c r="Q9" s="78"/>
      <c r="R9" s="80"/>
      <c r="S9" s="80"/>
      <c r="T9" s="80"/>
      <c r="U9" s="80"/>
      <c r="V9" s="80"/>
      <c r="W9" s="80"/>
      <c r="X9" s="80"/>
      <c r="Y9" s="80"/>
      <c r="Z9" s="80"/>
    </row>
    <row r="10" spans="1:26" x14ac:dyDescent="0.35">
      <c r="A10" s="78" t="s">
        <v>485</v>
      </c>
      <c r="B10" s="78" t="s">
        <v>60</v>
      </c>
      <c r="C10" s="78"/>
      <c r="D10" s="78"/>
      <c r="E10" s="78"/>
      <c r="F10" s="78" t="s">
        <v>579</v>
      </c>
      <c r="G10" s="78" t="s">
        <v>61</v>
      </c>
      <c r="H10" s="78"/>
      <c r="I10" s="78"/>
      <c r="J10" s="78"/>
      <c r="K10" s="78"/>
      <c r="L10" s="78"/>
      <c r="M10" s="78"/>
      <c r="N10" s="78"/>
      <c r="O10" s="78"/>
      <c r="P10" s="78"/>
      <c r="Q10" s="78"/>
      <c r="R10" s="80"/>
      <c r="S10" s="80"/>
      <c r="T10" s="80"/>
      <c r="U10" s="80"/>
      <c r="V10" s="80"/>
      <c r="W10" s="80"/>
      <c r="X10" s="80"/>
      <c r="Y10" s="80"/>
      <c r="Z10" s="80"/>
    </row>
    <row r="11" spans="1:26" x14ac:dyDescent="0.35">
      <c r="A11" s="78" t="s">
        <v>487</v>
      </c>
      <c r="B11" s="78" t="s">
        <v>60</v>
      </c>
      <c r="C11" s="78"/>
      <c r="D11" s="78"/>
      <c r="E11" s="78"/>
      <c r="F11" s="78" t="s">
        <v>488</v>
      </c>
      <c r="G11" s="78" t="s">
        <v>61</v>
      </c>
      <c r="H11" s="78"/>
      <c r="I11" s="78"/>
      <c r="J11" s="78"/>
      <c r="K11" s="78"/>
      <c r="L11" s="78"/>
      <c r="M11" s="78"/>
      <c r="N11" s="78"/>
      <c r="O11" s="78"/>
      <c r="P11" s="78"/>
      <c r="Q11" s="78"/>
      <c r="R11" s="80"/>
      <c r="S11" s="80"/>
      <c r="T11" s="80"/>
      <c r="U11" s="80"/>
      <c r="V11" s="80"/>
      <c r="W11" s="80"/>
      <c r="X11" s="80"/>
      <c r="Y11" s="80"/>
      <c r="Z11" s="80"/>
    </row>
    <row r="12" spans="1:26" x14ac:dyDescent="0.35">
      <c r="A12" s="78" t="s">
        <v>71</v>
      </c>
      <c r="B12" s="78" t="s">
        <v>60</v>
      </c>
      <c r="C12" s="78"/>
      <c r="D12" s="78"/>
      <c r="E12" s="78"/>
      <c r="F12" s="75" t="s">
        <v>489</v>
      </c>
      <c r="G12" s="78" t="s">
        <v>61</v>
      </c>
      <c r="H12" s="78"/>
      <c r="I12" s="78"/>
      <c r="J12" s="78"/>
      <c r="K12" s="78"/>
      <c r="L12" s="78"/>
      <c r="M12" s="78"/>
      <c r="N12" s="78"/>
      <c r="O12" s="78"/>
      <c r="P12" s="78"/>
      <c r="Q12" s="78"/>
      <c r="R12" s="80"/>
      <c r="S12" s="80"/>
      <c r="T12" s="80"/>
      <c r="U12" s="80"/>
      <c r="V12" s="80"/>
      <c r="W12" s="80"/>
      <c r="X12" s="80"/>
      <c r="Y12" s="80"/>
      <c r="Z12" s="80"/>
    </row>
    <row r="13" spans="1:26" ht="15.75" customHeight="1" x14ac:dyDescent="0.35">
      <c r="A13" s="78" t="s">
        <v>72</v>
      </c>
      <c r="B13" s="78" t="s">
        <v>60</v>
      </c>
      <c r="C13" s="16"/>
      <c r="D13" s="16"/>
      <c r="E13" s="16"/>
      <c r="F13" s="75" t="s">
        <v>83</v>
      </c>
      <c r="G13" s="78" t="s">
        <v>61</v>
      </c>
      <c r="H13" s="16"/>
      <c r="I13" s="16"/>
      <c r="J13" s="16"/>
      <c r="K13" s="16"/>
      <c r="L13" s="16"/>
      <c r="M13" s="16"/>
      <c r="N13" s="16"/>
      <c r="O13" s="16"/>
      <c r="P13" s="16"/>
      <c r="Q13" s="16"/>
      <c r="R13" s="16"/>
      <c r="S13" s="16"/>
      <c r="T13" s="16"/>
      <c r="U13" s="16"/>
      <c r="V13" s="16"/>
      <c r="W13" s="16"/>
      <c r="X13" s="16"/>
      <c r="Y13" s="16"/>
      <c r="Z13" s="16"/>
    </row>
    <row r="14" spans="1:26" ht="15.75" customHeight="1" x14ac:dyDescent="0.35">
      <c r="A14" s="16"/>
      <c r="B14" s="16"/>
      <c r="C14" s="16"/>
      <c r="D14" s="16"/>
      <c r="E14" s="16"/>
      <c r="G14" s="16"/>
      <c r="H14" s="16"/>
      <c r="I14" s="16"/>
      <c r="J14" s="16"/>
      <c r="K14" s="16"/>
      <c r="L14" s="16"/>
      <c r="M14" s="16"/>
      <c r="N14" s="16"/>
      <c r="O14" s="16"/>
      <c r="P14" s="16"/>
      <c r="Q14" s="16"/>
      <c r="R14" s="16"/>
      <c r="S14" s="16"/>
      <c r="T14" s="16"/>
      <c r="U14" s="16"/>
      <c r="V14" s="16"/>
      <c r="W14" s="16"/>
      <c r="X14" s="16"/>
      <c r="Y14" s="16"/>
      <c r="Z14" s="16"/>
    </row>
    <row r="15" spans="1:26" ht="15.75" customHeight="1"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x14ac:dyDescent="0.3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x14ac:dyDescent="0.3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x14ac:dyDescent="0.3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x14ac:dyDescent="0.3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x14ac:dyDescent="0.3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3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x14ac:dyDescent="0.3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x14ac:dyDescent="0.3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x14ac:dyDescent="0.3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x14ac:dyDescent="0.3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x14ac:dyDescent="0.3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x14ac:dyDescent="0.3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x14ac:dyDescent="0.3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x14ac:dyDescent="0.3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x14ac:dyDescent="0.3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x14ac:dyDescent="0.3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x14ac:dyDescent="0.3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x14ac:dyDescent="0.3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x14ac:dyDescent="0.3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x14ac:dyDescent="0.3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x14ac:dyDescent="0.3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x14ac:dyDescent="0.3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x14ac:dyDescent="0.3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x14ac:dyDescent="0.3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x14ac:dyDescent="0.3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x14ac:dyDescent="0.3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x14ac:dyDescent="0.3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x14ac:dyDescent="0.3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x14ac:dyDescent="0.3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x14ac:dyDescent="0.3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x14ac:dyDescent="0.3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x14ac:dyDescent="0.3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x14ac:dyDescent="0.3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x14ac:dyDescent="0.3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x14ac:dyDescent="0.3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x14ac:dyDescent="0.3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x14ac:dyDescent="0.3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x14ac:dyDescent="0.3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x14ac:dyDescent="0.3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x14ac:dyDescent="0.3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x14ac:dyDescent="0.3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x14ac:dyDescent="0.3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x14ac:dyDescent="0.3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x14ac:dyDescent="0.3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x14ac:dyDescent="0.3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3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3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3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3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3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3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3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3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3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3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3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3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3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3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3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3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3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3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3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3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3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3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3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3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3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3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3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3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3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3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3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3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3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3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3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3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3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3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3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3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3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3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3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3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3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3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3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3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3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3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3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3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3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3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3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3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3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3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3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3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3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3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3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3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3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3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3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3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3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3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3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3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3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3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3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3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3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3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3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3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3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3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3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3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3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3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3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3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3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3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3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3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3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3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3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3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3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3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3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3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3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3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3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3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3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3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3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3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3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3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3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3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3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3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3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3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3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3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3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3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3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3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3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3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3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3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3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3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3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3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3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3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3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3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3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3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3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3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3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3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3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3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3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3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3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3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3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3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3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3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3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3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3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3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3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3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3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3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3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3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3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3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3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3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3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3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3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3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3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3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3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3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3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3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3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3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3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3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3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3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3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3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3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3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3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3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3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3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3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3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3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3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3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3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3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3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3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3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3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3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3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3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3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3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3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3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3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3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3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3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3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3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3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3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3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3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3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3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3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3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3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3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3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3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3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3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3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3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3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3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3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3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3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3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3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3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3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3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3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3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3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3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3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3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3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3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3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3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3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3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3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3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3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3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3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3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3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3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3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3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3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3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3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3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3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3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3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3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3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3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3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3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3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3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3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3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3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3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3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3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3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3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3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3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3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3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3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3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3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3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3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3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3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3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3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3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3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3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3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3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3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3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3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3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3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3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3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3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3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3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3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3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3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3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3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3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3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3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3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3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3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3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3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3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3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3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3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3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3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3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3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3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3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3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3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3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3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3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3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3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3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3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3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3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3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3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3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3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3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3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3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3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3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3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3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3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3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3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3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3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3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3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3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3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3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3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3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3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3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3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3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3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3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3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3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3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3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3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3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3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3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3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3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3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3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3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3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3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3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3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3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3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3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3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3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3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3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3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3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3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3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3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3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3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3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3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3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3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3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3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3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3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3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3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3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3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3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3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3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3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3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3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3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3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3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3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3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3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3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3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3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3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3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3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3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3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3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3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3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3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3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3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3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3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3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3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3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3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3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3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3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3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3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3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3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3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3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3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3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3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3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3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3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3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3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3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3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3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3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3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3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3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3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3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3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3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3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3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3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3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3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3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3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3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3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3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3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3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3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3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3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3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3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3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3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3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3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3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3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3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3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3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3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3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3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3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3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3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3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3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3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3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3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3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3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3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3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3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3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3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3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3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3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3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3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3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3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3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3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3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3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3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3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3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3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3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3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3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3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3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3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3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3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3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3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3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3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3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3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3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3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3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3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3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3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3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3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3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3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3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3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3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3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3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3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3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3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3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3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3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3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3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3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3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3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3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3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3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3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3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3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3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3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3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3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3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3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3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3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3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3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3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3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3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3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3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3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3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3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3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3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3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3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3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3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3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3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3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3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3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3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3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3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3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3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3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3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3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3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3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3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3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3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3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3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3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3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3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3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3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3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3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3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3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3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3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3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3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3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3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3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3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3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3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3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3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3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3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3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3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3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3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3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3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3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3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3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3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3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3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3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3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3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3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3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3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3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3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3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3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3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3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3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3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3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3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3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3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3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3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3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3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3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3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3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3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3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3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3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3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3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3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3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3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3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3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3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3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3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3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3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3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3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3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3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3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3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3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3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3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3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3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3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3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3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3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3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3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3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3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3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3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3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3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3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3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3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3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3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3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3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3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3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3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3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3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3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3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3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3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3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3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3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3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3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3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3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3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3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3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3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3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3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3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3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3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3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3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3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3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3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3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3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3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3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3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3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3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3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3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3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3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3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3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3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3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3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3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3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3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3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3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3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3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3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3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3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3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3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3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3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3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3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3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3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3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3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3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3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3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3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3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3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3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3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3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3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3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3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3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3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3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3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3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3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3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3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3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3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3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3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3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3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3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3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3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3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3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3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3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3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3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3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3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3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3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3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3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3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3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3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3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3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3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3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3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3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3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3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3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3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3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3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3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3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3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3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3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3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3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3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3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3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3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3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3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3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3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3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3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3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3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3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3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3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3"/>
  <sheetViews>
    <sheetView workbookViewId="0"/>
  </sheetViews>
  <sheetFormatPr defaultRowHeight="14.5" x14ac:dyDescent="0.35"/>
  <cols>
    <col min="1" max="1" width="14.08984375" bestFit="1" customWidth="1"/>
    <col min="2" max="2" width="18.08984375" bestFit="1" customWidth="1"/>
    <col min="3" max="3" width="18.1796875" hidden="1" customWidth="1"/>
    <col min="4" max="4" width="31.36328125" hidden="1" customWidth="1"/>
    <col min="5" max="5" width="96.453125" customWidth="1"/>
    <col min="6" max="6" width="36.453125" hidden="1" customWidth="1"/>
    <col min="7" max="7" width="15.36328125" customWidth="1"/>
  </cols>
  <sheetData>
    <row r="1" spans="1:26" s="2" customFormat="1" ht="43.5" x14ac:dyDescent="0.35">
      <c r="A1" s="12" t="s">
        <v>54</v>
      </c>
      <c r="B1" s="12" t="s">
        <v>55</v>
      </c>
      <c r="C1" s="12"/>
      <c r="D1" s="12"/>
      <c r="E1" s="12" t="s">
        <v>58</v>
      </c>
      <c r="F1" s="12" t="s">
        <v>59</v>
      </c>
      <c r="G1" s="12" t="s">
        <v>41</v>
      </c>
      <c r="H1" s="12" t="s">
        <v>42</v>
      </c>
      <c r="I1" s="12" t="s">
        <v>45</v>
      </c>
      <c r="J1" s="14" t="s">
        <v>46</v>
      </c>
      <c r="K1" s="12" t="s">
        <v>47</v>
      </c>
      <c r="L1" s="12" t="s">
        <v>48</v>
      </c>
      <c r="M1" s="12" t="s">
        <v>49</v>
      </c>
      <c r="N1" s="12" t="s">
        <v>50</v>
      </c>
      <c r="O1" s="12" t="s">
        <v>51</v>
      </c>
      <c r="P1" s="13" t="s">
        <v>52</v>
      </c>
      <c r="Q1" s="12" t="s">
        <v>53</v>
      </c>
      <c r="R1" s="15"/>
      <c r="S1" s="15"/>
      <c r="T1" s="15"/>
      <c r="U1" s="15"/>
      <c r="V1" s="15"/>
      <c r="W1" s="15"/>
      <c r="X1" s="15"/>
      <c r="Y1" s="15"/>
      <c r="Z1" s="15"/>
    </row>
    <row r="2" spans="1:26" s="98" customFormat="1" ht="29" x14ac:dyDescent="0.35">
      <c r="A2" s="79" t="s">
        <v>71</v>
      </c>
      <c r="B2" s="79" t="s">
        <v>70</v>
      </c>
      <c r="C2" s="79"/>
      <c r="D2" s="79"/>
      <c r="E2" s="96" t="s">
        <v>501</v>
      </c>
      <c r="F2" s="79"/>
      <c r="G2" s="79" t="s">
        <v>61</v>
      </c>
      <c r="H2" s="79"/>
      <c r="I2" s="79"/>
      <c r="J2" s="79"/>
      <c r="K2" s="79"/>
      <c r="L2" s="79"/>
      <c r="M2" s="79"/>
      <c r="N2" s="79"/>
      <c r="O2" s="79"/>
      <c r="P2" s="79"/>
      <c r="Q2" s="79"/>
      <c r="R2" s="97"/>
      <c r="S2" s="97"/>
      <c r="T2" s="97"/>
      <c r="U2" s="97"/>
      <c r="V2" s="97"/>
      <c r="W2" s="97"/>
      <c r="X2" s="97"/>
      <c r="Y2" s="97"/>
      <c r="Z2" s="97"/>
    </row>
    <row r="3" spans="1:26" s="98" customFormat="1" ht="16" customHeight="1" x14ac:dyDescent="0.35">
      <c r="A3" s="79" t="s">
        <v>72</v>
      </c>
      <c r="B3" s="79" t="s">
        <v>70</v>
      </c>
      <c r="C3" s="79"/>
      <c r="D3" s="79"/>
      <c r="E3" s="96" t="s">
        <v>502</v>
      </c>
      <c r="F3" s="79"/>
      <c r="G3" s="79" t="s">
        <v>61</v>
      </c>
      <c r="H3" s="79"/>
      <c r="I3" s="79"/>
      <c r="J3" s="79"/>
      <c r="K3" s="79"/>
      <c r="L3" s="79"/>
      <c r="M3" s="79"/>
      <c r="N3" s="79"/>
      <c r="O3" s="79"/>
      <c r="P3" s="79"/>
      <c r="Q3" s="79"/>
      <c r="R3" s="97"/>
      <c r="S3" s="97"/>
      <c r="T3" s="97"/>
      <c r="U3" s="97"/>
      <c r="V3" s="97"/>
      <c r="W3" s="97"/>
      <c r="X3" s="97"/>
      <c r="Y3" s="97"/>
      <c r="Z3" s="97"/>
    </row>
    <row r="4" spans="1:26" s="98" customFormat="1" ht="16" customHeight="1" x14ac:dyDescent="0.35">
      <c r="A4" s="79" t="s">
        <v>72</v>
      </c>
      <c r="B4" s="79" t="s">
        <v>70</v>
      </c>
      <c r="C4" s="79"/>
      <c r="D4" s="79"/>
      <c r="E4" s="102" t="s">
        <v>503</v>
      </c>
      <c r="F4" s="79"/>
      <c r="G4" s="79"/>
      <c r="H4" s="79"/>
      <c r="I4" s="79"/>
      <c r="J4" s="79"/>
      <c r="K4" s="79"/>
      <c r="L4" s="79"/>
      <c r="M4" s="79"/>
      <c r="N4" s="79"/>
      <c r="O4" s="79"/>
      <c r="P4" s="79"/>
      <c r="Q4" s="79"/>
      <c r="R4" s="97"/>
      <c r="S4" s="97"/>
      <c r="T4" s="97"/>
      <c r="U4" s="97"/>
      <c r="V4" s="97"/>
      <c r="W4" s="97"/>
      <c r="X4" s="97"/>
      <c r="Y4" s="97"/>
      <c r="Z4" s="97"/>
    </row>
    <row r="5" spans="1:26" s="98" customFormat="1" x14ac:dyDescent="0.35">
      <c r="A5" s="79" t="s">
        <v>73</v>
      </c>
      <c r="B5" s="79" t="s">
        <v>70</v>
      </c>
      <c r="C5" s="79"/>
      <c r="D5" s="79"/>
      <c r="E5" s="102" t="s">
        <v>504</v>
      </c>
      <c r="F5" s="79"/>
      <c r="G5" s="79" t="s">
        <v>61</v>
      </c>
      <c r="H5" s="79"/>
      <c r="I5" s="79"/>
      <c r="J5" s="79"/>
      <c r="K5" s="79"/>
      <c r="L5" s="79"/>
      <c r="M5" s="79"/>
      <c r="N5" s="79"/>
      <c r="O5" s="79"/>
      <c r="P5" s="79"/>
      <c r="Q5" s="79"/>
      <c r="R5" s="97"/>
      <c r="S5" s="97"/>
      <c r="T5" s="97"/>
      <c r="U5" s="97"/>
      <c r="V5" s="97"/>
      <c r="W5" s="97"/>
      <c r="X5" s="97"/>
      <c r="Y5" s="97"/>
      <c r="Z5" s="97"/>
    </row>
    <row r="6" spans="1:26" s="98" customFormat="1" ht="43.5" x14ac:dyDescent="0.35">
      <c r="A6" s="79" t="s">
        <v>74</v>
      </c>
      <c r="B6" s="79" t="s">
        <v>70</v>
      </c>
      <c r="E6" s="101" t="s">
        <v>602</v>
      </c>
      <c r="G6" s="79" t="s">
        <v>61</v>
      </c>
      <c r="H6" s="96"/>
      <c r="I6" s="79"/>
      <c r="J6" s="79"/>
      <c r="K6" s="79"/>
      <c r="L6" s="79"/>
      <c r="M6" s="79"/>
      <c r="N6" s="79"/>
      <c r="O6" s="79"/>
      <c r="P6" s="79"/>
      <c r="Q6" s="79"/>
      <c r="R6" s="97"/>
      <c r="S6" s="97"/>
      <c r="T6" s="97"/>
      <c r="U6" s="97"/>
      <c r="V6" s="97"/>
      <c r="W6" s="97"/>
      <c r="X6" s="97"/>
      <c r="Y6" s="97"/>
      <c r="Z6" s="97"/>
    </row>
    <row r="7" spans="1:26" s="98" customFormat="1" ht="29" x14ac:dyDescent="0.35">
      <c r="A7" s="79" t="s">
        <v>75</v>
      </c>
      <c r="B7" s="79" t="s">
        <v>70</v>
      </c>
      <c r="C7" s="79"/>
      <c r="D7" s="99"/>
      <c r="E7" s="101" t="s">
        <v>505</v>
      </c>
      <c r="F7" s="100"/>
      <c r="G7" s="79" t="s">
        <v>61</v>
      </c>
      <c r="H7" s="96"/>
      <c r="I7" s="79"/>
      <c r="J7" s="79"/>
      <c r="K7" s="79"/>
      <c r="L7" s="79"/>
      <c r="M7" s="79"/>
      <c r="N7" s="79"/>
      <c r="O7" s="79"/>
      <c r="P7" s="79"/>
      <c r="Q7" s="79"/>
      <c r="R7" s="97"/>
      <c r="S7" s="97"/>
      <c r="T7" s="97"/>
      <c r="U7" s="97"/>
      <c r="V7" s="97"/>
      <c r="W7" s="97"/>
      <c r="X7" s="97"/>
      <c r="Y7" s="97"/>
      <c r="Z7" s="97"/>
    </row>
    <row r="8" spans="1:26" s="98" customFormat="1" ht="22" customHeight="1" x14ac:dyDescent="0.35">
      <c r="A8" s="79" t="s">
        <v>76</v>
      </c>
      <c r="B8" s="79" t="s">
        <v>70</v>
      </c>
      <c r="C8" s="79"/>
      <c r="D8" s="99"/>
      <c r="E8" s="101" t="s">
        <v>506</v>
      </c>
      <c r="F8" s="100"/>
      <c r="G8" s="79" t="s">
        <v>61</v>
      </c>
      <c r="H8" s="96"/>
      <c r="I8" s="79"/>
      <c r="J8" s="79"/>
      <c r="K8" s="79"/>
      <c r="L8" s="79"/>
      <c r="M8" s="79"/>
      <c r="N8" s="79"/>
      <c r="O8" s="79"/>
      <c r="P8" s="79"/>
      <c r="Q8" s="79"/>
      <c r="R8" s="97"/>
      <c r="S8" s="97"/>
      <c r="T8" s="97"/>
      <c r="U8" s="97"/>
      <c r="V8" s="97"/>
      <c r="W8" s="97"/>
      <c r="X8" s="97"/>
      <c r="Y8" s="97"/>
      <c r="Z8" s="97"/>
    </row>
    <row r="9" spans="1:26" s="98" customFormat="1" ht="29" x14ac:dyDescent="0.35">
      <c r="A9" s="79" t="s">
        <v>77</v>
      </c>
      <c r="B9" s="79" t="s">
        <v>70</v>
      </c>
      <c r="C9" s="79"/>
      <c r="D9" s="79"/>
      <c r="E9" s="101" t="s">
        <v>509</v>
      </c>
      <c r="F9" s="79"/>
      <c r="G9" s="79" t="s">
        <v>61</v>
      </c>
      <c r="H9" s="96"/>
      <c r="I9" s="79"/>
      <c r="J9" s="79"/>
      <c r="K9" s="79"/>
      <c r="L9" s="79"/>
      <c r="M9" s="79"/>
      <c r="N9" s="79"/>
      <c r="O9" s="79"/>
      <c r="P9" s="79"/>
      <c r="Q9" s="79"/>
      <c r="R9" s="97"/>
      <c r="S9" s="97"/>
      <c r="T9" s="97"/>
      <c r="U9" s="97"/>
      <c r="V9" s="97"/>
      <c r="W9" s="97"/>
      <c r="X9" s="97"/>
      <c r="Y9" s="97"/>
      <c r="Z9" s="97"/>
    </row>
    <row r="10" spans="1:26" s="98" customFormat="1" x14ac:dyDescent="0.35">
      <c r="A10" s="79" t="s">
        <v>78</v>
      </c>
      <c r="B10" s="79" t="s">
        <v>70</v>
      </c>
      <c r="C10" s="79"/>
      <c r="D10" s="79"/>
      <c r="E10" s="101" t="s">
        <v>510</v>
      </c>
      <c r="F10" s="79"/>
      <c r="G10" s="79" t="s">
        <v>61</v>
      </c>
      <c r="H10" s="96"/>
      <c r="I10" s="79"/>
      <c r="J10" s="79"/>
      <c r="K10" s="79"/>
      <c r="L10" s="79"/>
      <c r="M10" s="79"/>
      <c r="N10" s="79"/>
      <c r="O10" s="79"/>
      <c r="P10" s="79"/>
      <c r="Q10" s="79"/>
      <c r="R10" s="97"/>
      <c r="S10" s="97"/>
      <c r="T10" s="97"/>
      <c r="U10" s="97"/>
      <c r="V10" s="97"/>
      <c r="W10" s="97"/>
      <c r="X10" s="97"/>
      <c r="Y10" s="97"/>
      <c r="Z10" s="97"/>
    </row>
    <row r="11" spans="1:26" s="98" customFormat="1" ht="43.5" x14ac:dyDescent="0.35">
      <c r="A11" s="79" t="s">
        <v>585</v>
      </c>
      <c r="B11" s="79" t="s">
        <v>70</v>
      </c>
      <c r="C11" s="79"/>
      <c r="D11" s="79"/>
      <c r="E11" s="101" t="s">
        <v>591</v>
      </c>
      <c r="F11" s="79"/>
      <c r="G11" s="79" t="s">
        <v>61</v>
      </c>
      <c r="H11" s="96"/>
      <c r="I11" s="79"/>
      <c r="J11" s="79"/>
      <c r="K11" s="79"/>
      <c r="L11" s="79"/>
      <c r="M11" s="79"/>
      <c r="N11" s="79"/>
      <c r="O11" s="79"/>
      <c r="P11" s="79"/>
      <c r="Q11" s="79"/>
      <c r="R11" s="97"/>
      <c r="S11" s="97"/>
      <c r="T11" s="97"/>
      <c r="U11" s="97"/>
      <c r="V11" s="97"/>
      <c r="W11" s="97"/>
      <c r="X11" s="97"/>
      <c r="Y11" s="97"/>
      <c r="Z11" s="97"/>
    </row>
    <row r="12" spans="1:26" s="98" customFormat="1" ht="53.5" customHeight="1" x14ac:dyDescent="0.35">
      <c r="A12" s="79" t="s">
        <v>80</v>
      </c>
      <c r="B12" s="79" t="s">
        <v>70</v>
      </c>
      <c r="C12" s="79"/>
      <c r="D12" s="79"/>
      <c r="E12" s="101" t="s">
        <v>580</v>
      </c>
      <c r="F12" s="79"/>
      <c r="G12" s="79" t="s">
        <v>61</v>
      </c>
      <c r="H12" s="96"/>
      <c r="I12" s="79"/>
      <c r="J12" s="79"/>
      <c r="K12" s="79"/>
      <c r="L12" s="79"/>
      <c r="M12" s="79"/>
      <c r="N12" s="79"/>
      <c r="O12" s="79"/>
      <c r="P12" s="79"/>
      <c r="Q12" s="79"/>
      <c r="R12" s="97"/>
      <c r="S12" s="97"/>
      <c r="T12" s="97"/>
      <c r="U12" s="97"/>
      <c r="V12" s="97"/>
      <c r="W12" s="97"/>
      <c r="X12" s="97"/>
      <c r="Y12" s="97"/>
      <c r="Z12" s="97"/>
    </row>
    <row r="13" spans="1:26" s="98" customFormat="1" x14ac:dyDescent="0.35">
      <c r="A13" s="79" t="s">
        <v>82</v>
      </c>
      <c r="B13" s="79" t="s">
        <v>70</v>
      </c>
      <c r="C13" s="79"/>
      <c r="D13" s="79"/>
      <c r="E13" s="101" t="s">
        <v>581</v>
      </c>
      <c r="F13" s="79"/>
      <c r="G13" s="79" t="s">
        <v>61</v>
      </c>
      <c r="H13" s="96"/>
      <c r="I13" s="79"/>
      <c r="J13" s="79"/>
      <c r="K13" s="79"/>
      <c r="L13" s="79"/>
      <c r="M13" s="79"/>
      <c r="N13" s="79"/>
      <c r="O13" s="79"/>
      <c r="P13" s="79"/>
      <c r="Q13" s="79"/>
      <c r="R13" s="97"/>
      <c r="S13" s="97"/>
      <c r="T13" s="97"/>
      <c r="U13" s="97"/>
      <c r="V13" s="97"/>
      <c r="W13" s="97"/>
      <c r="X13" s="97"/>
      <c r="Y13" s="97"/>
      <c r="Z13" s="97"/>
    </row>
    <row r="14" spans="1:26" s="98" customFormat="1" ht="35.5" customHeight="1" x14ac:dyDescent="0.35">
      <c r="A14" s="79" t="s">
        <v>400</v>
      </c>
      <c r="B14" s="79" t="s">
        <v>70</v>
      </c>
      <c r="C14" s="79"/>
      <c r="D14" s="79"/>
      <c r="E14" s="101" t="s">
        <v>582</v>
      </c>
      <c r="F14" s="79"/>
      <c r="G14" s="79" t="s">
        <v>61</v>
      </c>
      <c r="H14" s="96"/>
      <c r="I14" s="79"/>
      <c r="J14" s="79"/>
      <c r="K14" s="79"/>
      <c r="L14" s="79"/>
      <c r="M14" s="79"/>
      <c r="N14" s="79"/>
      <c r="O14" s="79"/>
      <c r="P14" s="79"/>
      <c r="Q14" s="79"/>
      <c r="R14" s="97"/>
      <c r="S14" s="97"/>
      <c r="T14" s="97"/>
      <c r="U14" s="97"/>
      <c r="V14" s="97"/>
      <c r="W14" s="97"/>
      <c r="X14" s="97"/>
      <c r="Y14" s="97"/>
      <c r="Z14" s="97"/>
    </row>
    <row r="15" spans="1:26" s="98" customFormat="1" ht="72.5" x14ac:dyDescent="0.35">
      <c r="A15" s="79" t="s">
        <v>490</v>
      </c>
      <c r="B15" s="79" t="s">
        <v>70</v>
      </c>
      <c r="C15" s="79"/>
      <c r="D15" s="79"/>
      <c r="E15" s="101" t="s">
        <v>583</v>
      </c>
      <c r="F15" s="79"/>
      <c r="G15" s="79" t="s">
        <v>61</v>
      </c>
      <c r="H15" s="96"/>
      <c r="I15" s="79"/>
      <c r="J15" s="79"/>
      <c r="K15" s="79"/>
      <c r="L15" s="79"/>
      <c r="M15" s="79"/>
      <c r="N15" s="79"/>
      <c r="O15" s="79"/>
      <c r="P15" s="79"/>
      <c r="Q15" s="79"/>
      <c r="R15" s="97"/>
      <c r="S15" s="97"/>
      <c r="T15" s="97"/>
      <c r="U15" s="97"/>
      <c r="V15" s="97"/>
      <c r="W15" s="97"/>
      <c r="X15" s="97"/>
      <c r="Y15" s="97"/>
      <c r="Z15" s="97"/>
    </row>
    <row r="16" spans="1:26" s="98" customFormat="1" x14ac:dyDescent="0.35">
      <c r="A16" s="79" t="s">
        <v>586</v>
      </c>
      <c r="B16" s="79" t="s">
        <v>70</v>
      </c>
      <c r="C16" s="79"/>
      <c r="D16" s="79"/>
      <c r="E16" s="101" t="s">
        <v>584</v>
      </c>
      <c r="F16" s="79"/>
      <c r="G16" s="79" t="s">
        <v>61</v>
      </c>
      <c r="H16" s="96"/>
      <c r="I16" s="79"/>
      <c r="J16" s="79"/>
      <c r="K16" s="79"/>
      <c r="L16" s="79"/>
      <c r="M16" s="79"/>
      <c r="N16" s="79"/>
      <c r="O16" s="79"/>
      <c r="P16" s="79"/>
      <c r="Q16" s="79"/>
      <c r="R16" s="97"/>
      <c r="S16" s="97"/>
      <c r="T16" s="97"/>
      <c r="U16" s="97"/>
      <c r="V16" s="97"/>
      <c r="W16" s="97"/>
      <c r="X16" s="97"/>
      <c r="Y16" s="97"/>
      <c r="Z16" s="97"/>
    </row>
    <row r="17" spans="1:26" s="98" customFormat="1" x14ac:dyDescent="0.35">
      <c r="A17" s="79" t="s">
        <v>491</v>
      </c>
      <c r="B17" s="79"/>
      <c r="C17" s="79"/>
      <c r="D17" s="79"/>
      <c r="E17" s="101" t="s">
        <v>603</v>
      </c>
      <c r="F17" s="79"/>
      <c r="G17" s="79" t="s">
        <v>61</v>
      </c>
      <c r="H17" s="96"/>
      <c r="I17" s="79"/>
      <c r="J17" s="79"/>
      <c r="K17" s="79"/>
      <c r="L17" s="79"/>
      <c r="M17" s="79"/>
      <c r="N17" s="79"/>
      <c r="O17" s="79"/>
      <c r="P17" s="79"/>
      <c r="Q17" s="79"/>
      <c r="R17" s="97"/>
      <c r="S17" s="97"/>
      <c r="T17" s="97"/>
      <c r="U17" s="97"/>
      <c r="V17" s="97"/>
      <c r="W17" s="97"/>
      <c r="X17" s="97"/>
      <c r="Y17" s="97"/>
      <c r="Z17" s="97"/>
    </row>
    <row r="18" spans="1:26" s="98" customFormat="1" ht="43.5" x14ac:dyDescent="0.35">
      <c r="A18" s="79" t="s">
        <v>492</v>
      </c>
      <c r="B18" s="79" t="s">
        <v>70</v>
      </c>
      <c r="C18" s="79"/>
      <c r="D18" s="79"/>
      <c r="E18" s="101" t="s">
        <v>511</v>
      </c>
      <c r="F18" s="79"/>
      <c r="G18" s="79" t="s">
        <v>61</v>
      </c>
      <c r="H18" s="96"/>
      <c r="I18" s="79"/>
      <c r="J18" s="79"/>
      <c r="K18" s="79"/>
      <c r="L18" s="79"/>
      <c r="M18" s="79"/>
      <c r="N18" s="79"/>
      <c r="O18" s="79"/>
      <c r="P18" s="79"/>
      <c r="Q18" s="79"/>
      <c r="R18" s="97"/>
      <c r="S18" s="97"/>
      <c r="T18" s="97"/>
      <c r="U18" s="97"/>
      <c r="V18" s="97"/>
      <c r="W18" s="97"/>
      <c r="X18" s="97"/>
      <c r="Y18" s="97"/>
      <c r="Z18" s="97"/>
    </row>
    <row r="19" spans="1:26" s="98" customFormat="1" x14ac:dyDescent="0.35">
      <c r="A19" s="79" t="s">
        <v>493</v>
      </c>
      <c r="B19" s="79" t="s">
        <v>70</v>
      </c>
      <c r="C19" s="79"/>
      <c r="D19" s="79"/>
      <c r="E19" s="101" t="s">
        <v>512</v>
      </c>
      <c r="F19" s="79"/>
      <c r="G19" s="79" t="s">
        <v>61</v>
      </c>
      <c r="H19" s="96"/>
      <c r="I19" s="79"/>
      <c r="J19" s="79"/>
      <c r="K19" s="79"/>
      <c r="L19" s="79"/>
      <c r="M19" s="79"/>
      <c r="N19" s="79"/>
      <c r="O19" s="79"/>
      <c r="P19" s="79"/>
      <c r="Q19" s="79"/>
      <c r="R19" s="97"/>
      <c r="S19" s="97"/>
      <c r="T19" s="97"/>
      <c r="U19" s="97"/>
      <c r="V19" s="97"/>
      <c r="W19" s="97"/>
      <c r="X19" s="97"/>
      <c r="Y19" s="97"/>
      <c r="Z19" s="97"/>
    </row>
    <row r="20" spans="1:26" s="98" customFormat="1" x14ac:dyDescent="0.35">
      <c r="A20" s="79" t="s">
        <v>494</v>
      </c>
      <c r="B20" s="79" t="s">
        <v>70</v>
      </c>
      <c r="C20" s="79"/>
      <c r="D20" s="79"/>
      <c r="E20" s="101" t="s">
        <v>513</v>
      </c>
      <c r="F20" s="79"/>
      <c r="G20" s="79" t="s">
        <v>61</v>
      </c>
      <c r="H20" s="96"/>
      <c r="I20" s="79"/>
      <c r="J20" s="79"/>
      <c r="K20" s="79"/>
      <c r="L20" s="79"/>
      <c r="M20" s="79"/>
      <c r="N20" s="79"/>
      <c r="O20" s="79"/>
      <c r="P20" s="79"/>
      <c r="Q20" s="79"/>
      <c r="R20" s="97"/>
      <c r="S20" s="97"/>
      <c r="T20" s="97"/>
      <c r="U20" s="97"/>
      <c r="V20" s="97"/>
      <c r="W20" s="97"/>
      <c r="X20" s="97"/>
      <c r="Y20" s="97"/>
      <c r="Z20" s="97"/>
    </row>
    <row r="21" spans="1:26" s="98" customFormat="1" ht="29" x14ac:dyDescent="0.35">
      <c r="A21" s="79" t="s">
        <v>495</v>
      </c>
      <c r="B21" s="79" t="s">
        <v>70</v>
      </c>
      <c r="C21" s="79"/>
      <c r="D21" s="79"/>
      <c r="E21" s="101" t="s">
        <v>514</v>
      </c>
      <c r="F21" s="79"/>
      <c r="G21" s="79" t="s">
        <v>61</v>
      </c>
      <c r="H21" s="96"/>
      <c r="I21" s="79"/>
      <c r="J21" s="79"/>
      <c r="K21" s="79"/>
      <c r="L21" s="79"/>
      <c r="M21" s="79"/>
      <c r="N21" s="79"/>
      <c r="O21" s="79"/>
      <c r="P21" s="79"/>
      <c r="Q21" s="79"/>
      <c r="R21" s="97"/>
      <c r="S21" s="97"/>
      <c r="T21" s="97"/>
      <c r="U21" s="97"/>
      <c r="V21" s="97"/>
      <c r="W21" s="97"/>
      <c r="X21" s="97"/>
      <c r="Y21" s="97"/>
      <c r="Z21" s="97"/>
    </row>
    <row r="22" spans="1:26" s="98" customFormat="1" ht="29" x14ac:dyDescent="0.35">
      <c r="A22" s="79" t="s">
        <v>587</v>
      </c>
      <c r="B22" s="79" t="s">
        <v>70</v>
      </c>
      <c r="C22" s="79"/>
      <c r="D22" s="79"/>
      <c r="E22" s="101" t="s">
        <v>515</v>
      </c>
      <c r="F22" s="79"/>
      <c r="G22" s="79" t="s">
        <v>61</v>
      </c>
      <c r="H22" s="96"/>
      <c r="I22" s="79"/>
      <c r="J22" s="79"/>
      <c r="K22" s="79"/>
      <c r="L22" s="79"/>
      <c r="M22" s="79"/>
      <c r="N22" s="79"/>
      <c r="O22" s="79"/>
      <c r="P22" s="79"/>
      <c r="Q22" s="79"/>
      <c r="R22" s="97"/>
      <c r="S22" s="97"/>
      <c r="T22" s="97"/>
      <c r="U22" s="97"/>
      <c r="V22" s="97"/>
      <c r="W22" s="97"/>
      <c r="X22" s="97"/>
      <c r="Y22" s="97"/>
      <c r="Z22" s="97"/>
    </row>
    <row r="23" spans="1:26" s="98" customFormat="1" ht="29" x14ac:dyDescent="0.35">
      <c r="A23" s="79" t="s">
        <v>496</v>
      </c>
      <c r="B23" s="79" t="s">
        <v>70</v>
      </c>
      <c r="C23" s="79"/>
      <c r="D23" s="79"/>
      <c r="E23" s="101" t="s">
        <v>507</v>
      </c>
      <c r="F23" s="79"/>
      <c r="G23" s="79" t="s">
        <v>61</v>
      </c>
      <c r="H23" s="96"/>
      <c r="I23" s="79"/>
      <c r="J23" s="79"/>
      <c r="K23" s="79"/>
      <c r="L23" s="79"/>
      <c r="M23" s="79"/>
      <c r="N23" s="79"/>
      <c r="O23" s="79"/>
      <c r="P23" s="79"/>
      <c r="Q23" s="79"/>
      <c r="R23" s="97"/>
      <c r="S23" s="97"/>
      <c r="T23" s="97"/>
      <c r="U23" s="97"/>
      <c r="V23" s="97"/>
      <c r="W23" s="97"/>
      <c r="X23" s="97"/>
      <c r="Y23" s="97"/>
      <c r="Z23" s="97"/>
    </row>
    <row r="24" spans="1:26" s="98" customFormat="1" x14ac:dyDescent="0.35">
      <c r="A24" s="79" t="s">
        <v>497</v>
      </c>
      <c r="B24" s="79" t="s">
        <v>70</v>
      </c>
      <c r="C24" s="79"/>
      <c r="D24" s="79"/>
      <c r="E24" s="101" t="s">
        <v>516</v>
      </c>
      <c r="F24" s="79"/>
      <c r="G24" s="79" t="s">
        <v>61</v>
      </c>
      <c r="H24" s="96"/>
      <c r="I24" s="79"/>
      <c r="J24" s="79"/>
      <c r="K24" s="79"/>
      <c r="L24" s="79"/>
      <c r="M24" s="79"/>
      <c r="N24" s="79"/>
      <c r="O24" s="79"/>
      <c r="P24" s="79"/>
      <c r="Q24" s="79"/>
      <c r="R24" s="97"/>
      <c r="S24" s="97"/>
      <c r="T24" s="97"/>
      <c r="U24" s="97"/>
      <c r="V24" s="97"/>
      <c r="W24" s="97"/>
      <c r="X24" s="97"/>
      <c r="Y24" s="97"/>
      <c r="Z24" s="97"/>
    </row>
    <row r="25" spans="1:26" s="98" customFormat="1" ht="29" x14ac:dyDescent="0.35">
      <c r="A25" s="79" t="s">
        <v>498</v>
      </c>
      <c r="B25" s="79" t="s">
        <v>70</v>
      </c>
      <c r="C25" s="79"/>
      <c r="D25" s="79"/>
      <c r="E25" s="101" t="s">
        <v>517</v>
      </c>
      <c r="F25" s="79"/>
      <c r="G25" s="79" t="s">
        <v>61</v>
      </c>
      <c r="H25" s="96"/>
      <c r="I25" s="79"/>
      <c r="J25" s="79"/>
      <c r="K25" s="79"/>
      <c r="L25" s="79"/>
      <c r="M25" s="79"/>
      <c r="N25" s="79"/>
      <c r="O25" s="79"/>
      <c r="P25" s="79"/>
      <c r="Q25" s="79"/>
      <c r="R25" s="97"/>
      <c r="S25" s="97"/>
      <c r="T25" s="97"/>
      <c r="U25" s="97"/>
      <c r="V25" s="97"/>
      <c r="W25" s="97"/>
      <c r="X25" s="97"/>
      <c r="Y25" s="97"/>
      <c r="Z25" s="97"/>
    </row>
    <row r="26" spans="1:26" s="98" customFormat="1" ht="29" x14ac:dyDescent="0.35">
      <c r="A26" s="79" t="s">
        <v>499</v>
      </c>
      <c r="B26" s="79" t="s">
        <v>70</v>
      </c>
      <c r="C26" s="79"/>
      <c r="D26" s="79"/>
      <c r="E26" s="101" t="s">
        <v>518</v>
      </c>
      <c r="F26" s="79"/>
      <c r="G26" s="79" t="s">
        <v>61</v>
      </c>
      <c r="H26" s="96"/>
      <c r="I26" s="79"/>
      <c r="J26" s="79"/>
      <c r="K26" s="79"/>
      <c r="L26" s="79"/>
      <c r="M26" s="79"/>
      <c r="N26" s="79"/>
      <c r="O26" s="79"/>
      <c r="P26" s="79"/>
      <c r="Q26" s="79"/>
      <c r="R26" s="97"/>
      <c r="S26" s="97"/>
      <c r="T26" s="97"/>
      <c r="U26" s="97"/>
      <c r="V26" s="97"/>
      <c r="W26" s="97"/>
      <c r="X26" s="97"/>
      <c r="Y26" s="97"/>
      <c r="Z26" s="97"/>
    </row>
    <row r="27" spans="1:26" s="98" customFormat="1" x14ac:dyDescent="0.35">
      <c r="A27" s="79" t="s">
        <v>500</v>
      </c>
      <c r="B27" s="79" t="s">
        <v>70</v>
      </c>
      <c r="C27" s="79"/>
      <c r="D27" s="79"/>
      <c r="E27" s="96" t="s">
        <v>519</v>
      </c>
      <c r="F27" s="79"/>
      <c r="G27" s="79" t="s">
        <v>61</v>
      </c>
      <c r="H27" s="96"/>
      <c r="I27" s="79"/>
      <c r="J27" s="79"/>
      <c r="K27" s="79"/>
      <c r="L27" s="79"/>
      <c r="M27" s="79"/>
      <c r="N27" s="79"/>
      <c r="O27" s="79"/>
      <c r="P27" s="79"/>
      <c r="Q27" s="79"/>
      <c r="R27" s="97"/>
      <c r="S27" s="97"/>
      <c r="T27" s="97"/>
      <c r="U27" s="97"/>
      <c r="V27" s="97"/>
      <c r="W27" s="97"/>
      <c r="X27" s="97"/>
      <c r="Y27" s="97"/>
      <c r="Z27" s="97"/>
    </row>
    <row r="28" spans="1:26" s="98" customFormat="1" x14ac:dyDescent="0.35">
      <c r="A28" s="79" t="s">
        <v>588</v>
      </c>
      <c r="B28" s="79" t="s">
        <v>70</v>
      </c>
      <c r="C28" s="79"/>
      <c r="D28" s="79"/>
      <c r="E28" s="96" t="s">
        <v>520</v>
      </c>
      <c r="F28" s="79"/>
      <c r="G28" s="79" t="s">
        <v>61</v>
      </c>
      <c r="H28" s="79"/>
      <c r="I28" s="79"/>
      <c r="J28" s="79"/>
      <c r="K28" s="79"/>
      <c r="L28" s="79"/>
      <c r="M28" s="79"/>
      <c r="N28" s="79"/>
      <c r="O28" s="79"/>
      <c r="P28" s="79"/>
      <c r="Q28" s="79"/>
      <c r="R28" s="97"/>
      <c r="S28" s="97"/>
      <c r="T28" s="97"/>
      <c r="U28" s="97"/>
      <c r="V28" s="97"/>
      <c r="W28" s="97"/>
      <c r="X28" s="97"/>
      <c r="Y28" s="97"/>
      <c r="Z28" s="97"/>
    </row>
    <row r="29" spans="1:26" s="2" customFormat="1" x14ac:dyDescent="0.35">
      <c r="A29" s="79" t="s">
        <v>589</v>
      </c>
      <c r="B29" s="78" t="s">
        <v>70</v>
      </c>
      <c r="C29" s="78"/>
      <c r="D29" s="78"/>
      <c r="E29" s="78" t="s">
        <v>521</v>
      </c>
      <c r="F29" s="78"/>
      <c r="G29" s="78" t="s">
        <v>61</v>
      </c>
      <c r="H29" s="78"/>
      <c r="I29" s="78"/>
      <c r="J29" s="78"/>
      <c r="K29" s="78"/>
      <c r="L29" s="78"/>
      <c r="M29" s="78"/>
      <c r="N29" s="78"/>
      <c r="O29" s="78"/>
      <c r="P29" s="78"/>
      <c r="Q29" s="78"/>
      <c r="R29" s="80"/>
      <c r="S29" s="80"/>
      <c r="T29" s="80"/>
      <c r="U29" s="80"/>
      <c r="V29" s="80"/>
      <c r="W29" s="80"/>
      <c r="X29" s="80"/>
      <c r="Y29" s="80"/>
      <c r="Z29" s="80"/>
    </row>
    <row r="30" spans="1:26" s="2" customFormat="1" x14ac:dyDescent="0.35">
      <c r="A30" s="79" t="s">
        <v>590</v>
      </c>
      <c r="B30" s="78" t="s">
        <v>70</v>
      </c>
      <c r="C30" s="78"/>
      <c r="D30" s="78"/>
      <c r="E30" s="78" t="s">
        <v>522</v>
      </c>
      <c r="F30" s="78"/>
      <c r="G30" s="78" t="s">
        <v>61</v>
      </c>
      <c r="H30" s="78"/>
      <c r="I30" s="78"/>
      <c r="J30" s="78"/>
      <c r="K30" s="78"/>
      <c r="L30" s="78"/>
      <c r="M30" s="78"/>
      <c r="N30" s="78"/>
      <c r="O30" s="78"/>
      <c r="P30" s="78"/>
      <c r="Q30" s="78"/>
      <c r="R30" s="80"/>
      <c r="S30" s="80"/>
      <c r="T30" s="80"/>
      <c r="U30" s="80"/>
      <c r="V30" s="80"/>
      <c r="W30" s="80"/>
      <c r="X30" s="80"/>
      <c r="Y30" s="80"/>
      <c r="Z30" s="80"/>
    </row>
    <row r="31" spans="1:26" s="2" customFormat="1" ht="15.75" customHeight="1" x14ac:dyDescent="0.35">
      <c r="A31" s="79" t="s">
        <v>604</v>
      </c>
      <c r="B31" s="78" t="s">
        <v>70</v>
      </c>
      <c r="C31" s="78"/>
      <c r="D31" s="78"/>
      <c r="E31" s="78" t="s">
        <v>81</v>
      </c>
      <c r="F31" s="78"/>
      <c r="G31" s="78" t="s">
        <v>61</v>
      </c>
      <c r="H31" s="78"/>
      <c r="I31" s="78"/>
      <c r="J31" s="78"/>
      <c r="K31" s="78"/>
      <c r="L31" s="78"/>
      <c r="M31" s="78"/>
      <c r="N31" s="78"/>
      <c r="O31" s="78"/>
      <c r="P31" s="78"/>
      <c r="Q31" s="78"/>
      <c r="R31" s="80"/>
      <c r="S31" s="80"/>
      <c r="T31" s="80"/>
      <c r="U31" s="80"/>
      <c r="V31" s="80"/>
      <c r="W31" s="80"/>
      <c r="X31" s="80"/>
      <c r="Y31" s="80"/>
      <c r="Z31" s="80"/>
    </row>
    <row r="32" spans="1:26" x14ac:dyDescent="0.35">
      <c r="E32" s="103"/>
    </row>
    <row r="33" spans="5:5" x14ac:dyDescent="0.35">
      <c r="E33" s="103"/>
    </row>
    <row r="34" spans="5:5" x14ac:dyDescent="0.35">
      <c r="E34" s="19"/>
    </row>
    <row r="35" spans="5:5" x14ac:dyDescent="0.35">
      <c r="E35" s="19"/>
    </row>
    <row r="36" spans="5:5" x14ac:dyDescent="0.35">
      <c r="E36" s="19"/>
    </row>
    <row r="37" spans="5:5" x14ac:dyDescent="0.35">
      <c r="E37" s="19"/>
    </row>
    <row r="38" spans="5:5" x14ac:dyDescent="0.35">
      <c r="E38" s="19"/>
    </row>
    <row r="39" spans="5:5" x14ac:dyDescent="0.35">
      <c r="E39" s="19"/>
    </row>
    <row r="40" spans="5:5" x14ac:dyDescent="0.35">
      <c r="E40" s="19"/>
    </row>
    <row r="41" spans="5:5" x14ac:dyDescent="0.35">
      <c r="E41" s="19"/>
    </row>
    <row r="42" spans="5:5" x14ac:dyDescent="0.35">
      <c r="E42" s="19"/>
    </row>
    <row r="43" spans="5:5" x14ac:dyDescent="0.35">
      <c r="E43" s="4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topLeftCell="A25" workbookViewId="0">
      <selection activeCell="E45" sqref="E45"/>
    </sheetView>
  </sheetViews>
  <sheetFormatPr defaultColWidth="9.1796875" defaultRowHeight="14.5" x14ac:dyDescent="0.35"/>
  <cols>
    <col min="1" max="1" width="35.36328125" style="18" customWidth="1"/>
    <col min="2" max="2" width="14.90625" style="18" customWidth="1"/>
    <col min="3" max="4" width="18.1796875" style="18" customWidth="1"/>
    <col min="5" max="5" width="57.1796875" style="18" customWidth="1"/>
    <col min="6" max="16384" width="9.1796875" style="18"/>
  </cols>
  <sheetData>
    <row r="1" spans="1:5" x14ac:dyDescent="0.35">
      <c r="A1" s="17" t="s">
        <v>84</v>
      </c>
      <c r="B1" s="18" t="s">
        <v>85</v>
      </c>
      <c r="C1" s="18" t="s">
        <v>86</v>
      </c>
      <c r="D1" s="18" t="s">
        <v>87</v>
      </c>
    </row>
    <row r="2" spans="1:5" x14ac:dyDescent="0.35">
      <c r="A2" s="18" t="s">
        <v>88</v>
      </c>
      <c r="B2" s="18" t="s">
        <v>89</v>
      </c>
      <c r="C2" s="19" t="s">
        <v>90</v>
      </c>
      <c r="D2" s="19" t="s">
        <v>91</v>
      </c>
      <c r="E2" s="18" t="s">
        <v>92</v>
      </c>
    </row>
    <row r="3" spans="1:5" x14ac:dyDescent="0.35">
      <c r="A3" s="18" t="s">
        <v>93</v>
      </c>
      <c r="B3" s="18" t="s">
        <v>94</v>
      </c>
      <c r="C3" s="18" t="s">
        <v>95</v>
      </c>
      <c r="D3" s="18" t="s">
        <v>96</v>
      </c>
      <c r="E3" s="18" t="s">
        <v>97</v>
      </c>
    </row>
    <row r="4" spans="1:5" x14ac:dyDescent="0.35">
      <c r="A4" s="18" t="s">
        <v>98</v>
      </c>
      <c r="B4" s="18" t="s">
        <v>94</v>
      </c>
      <c r="C4" s="18" t="s">
        <v>99</v>
      </c>
      <c r="D4" s="18" t="s">
        <v>96</v>
      </c>
      <c r="E4" s="18" t="s">
        <v>100</v>
      </c>
    </row>
    <row r="5" spans="1:5" x14ac:dyDescent="0.35">
      <c r="A5" s="18" t="s">
        <v>101</v>
      </c>
      <c r="B5" s="18" t="s">
        <v>94</v>
      </c>
      <c r="C5" s="19" t="s">
        <v>90</v>
      </c>
      <c r="D5" s="18" t="s">
        <v>96</v>
      </c>
      <c r="E5" s="18" t="s">
        <v>102</v>
      </c>
    </row>
    <row r="6" spans="1:5" x14ac:dyDescent="0.35">
      <c r="A6" s="18" t="s">
        <v>103</v>
      </c>
      <c r="B6" s="18" t="s">
        <v>104</v>
      </c>
      <c r="C6" s="18" t="s">
        <v>105</v>
      </c>
      <c r="D6" s="18" t="s">
        <v>96</v>
      </c>
      <c r="E6" s="18" t="s">
        <v>106</v>
      </c>
    </row>
    <row r="7" spans="1:5" x14ac:dyDescent="0.35">
      <c r="A7" s="18" t="s">
        <v>107</v>
      </c>
      <c r="B7" s="18" t="s">
        <v>94</v>
      </c>
      <c r="C7" s="18" t="s">
        <v>108</v>
      </c>
      <c r="D7" s="18" t="s">
        <v>96</v>
      </c>
      <c r="E7" s="18" t="s">
        <v>109</v>
      </c>
    </row>
    <row r="8" spans="1:5" x14ac:dyDescent="0.35">
      <c r="A8" s="18" t="s">
        <v>110</v>
      </c>
      <c r="B8" s="18" t="s">
        <v>94</v>
      </c>
      <c r="C8" s="18" t="s">
        <v>111</v>
      </c>
      <c r="D8" s="18" t="s">
        <v>96</v>
      </c>
      <c r="E8" s="18" t="s">
        <v>112</v>
      </c>
    </row>
    <row r="9" spans="1:5" x14ac:dyDescent="0.35">
      <c r="A9" s="18" t="s">
        <v>113</v>
      </c>
      <c r="B9" s="18" t="s">
        <v>104</v>
      </c>
      <c r="C9" s="18" t="s">
        <v>114</v>
      </c>
      <c r="D9" s="18" t="s">
        <v>104</v>
      </c>
      <c r="E9" s="18" t="s">
        <v>115</v>
      </c>
    </row>
    <row r="12" spans="1:5" x14ac:dyDescent="0.35">
      <c r="A12" s="17" t="s">
        <v>116</v>
      </c>
      <c r="C12" s="18" t="s">
        <v>117</v>
      </c>
    </row>
    <row r="13" spans="1:5" x14ac:dyDescent="0.35">
      <c r="A13" s="20" t="s">
        <v>118</v>
      </c>
    </row>
    <row r="14" spans="1:5" x14ac:dyDescent="0.35">
      <c r="A14" s="18" t="s">
        <v>119</v>
      </c>
      <c r="B14" s="18" t="s">
        <v>120</v>
      </c>
      <c r="C14" s="18" t="s">
        <v>121</v>
      </c>
    </row>
    <row r="15" spans="1:5" x14ac:dyDescent="0.35">
      <c r="A15" s="18" t="s">
        <v>122</v>
      </c>
      <c r="B15" s="18" t="s">
        <v>99</v>
      </c>
      <c r="C15" s="18" t="s">
        <v>99</v>
      </c>
    </row>
    <row r="16" spans="1:5" x14ac:dyDescent="0.35">
      <c r="A16" s="20"/>
      <c r="C16" s="18" t="s">
        <v>123</v>
      </c>
    </row>
    <row r="18" spans="1:6" x14ac:dyDescent="0.35">
      <c r="A18" s="20" t="s">
        <v>124</v>
      </c>
      <c r="B18" s="19" t="s">
        <v>125</v>
      </c>
    </row>
    <row r="20" spans="1:6" x14ac:dyDescent="0.35">
      <c r="A20" s="20" t="s">
        <v>126</v>
      </c>
      <c r="B20" s="18" t="s">
        <v>94</v>
      </c>
    </row>
    <row r="21" spans="1:6" x14ac:dyDescent="0.35">
      <c r="E21" s="19"/>
    </row>
    <row r="22" spans="1:6" x14ac:dyDescent="0.35">
      <c r="A22" s="18" t="s">
        <v>127</v>
      </c>
      <c r="E22" s="19"/>
    </row>
    <row r="23" spans="1:6" x14ac:dyDescent="0.35">
      <c r="E23" s="19"/>
    </row>
    <row r="24" spans="1:6" x14ac:dyDescent="0.35">
      <c r="A24" s="17" t="s">
        <v>128</v>
      </c>
      <c r="B24" s="18" t="s">
        <v>129</v>
      </c>
      <c r="C24" s="19" t="s">
        <v>130</v>
      </c>
      <c r="D24" s="19" t="s">
        <v>131</v>
      </c>
      <c r="E24" s="19"/>
    </row>
    <row r="25" spans="1:6" x14ac:dyDescent="0.35">
      <c r="A25" s="19" t="s">
        <v>132</v>
      </c>
      <c r="E25" s="19"/>
    </row>
    <row r="26" spans="1:6" x14ac:dyDescent="0.35">
      <c r="A26" s="19" t="s">
        <v>133</v>
      </c>
      <c r="B26" s="116">
        <v>0.72545000000000004</v>
      </c>
      <c r="F26" s="18">
        <f>B26*24*30</f>
        <v>522.32400000000007</v>
      </c>
    </row>
    <row r="27" spans="1:6" x14ac:dyDescent="0.35">
      <c r="A27" s="19" t="s">
        <v>134</v>
      </c>
      <c r="B27" s="116">
        <v>0.21215000000000001</v>
      </c>
      <c r="F27" s="18">
        <f>B27*24*30</f>
        <v>152.74799999999999</v>
      </c>
    </row>
    <row r="28" spans="1:6" x14ac:dyDescent="0.35">
      <c r="A28" s="19" t="s">
        <v>135</v>
      </c>
      <c r="B28" s="21">
        <v>0.2</v>
      </c>
      <c r="C28" s="22"/>
      <c r="D28" s="22"/>
    </row>
    <row r="29" spans="1:6" x14ac:dyDescent="0.35">
      <c r="A29" s="23" t="s">
        <v>136</v>
      </c>
      <c r="B29" s="24">
        <f>((B26-B27)*B28+B27)*24*30</f>
        <v>226.66320000000002</v>
      </c>
      <c r="C29" s="25"/>
      <c r="D29" s="22"/>
      <c r="E29" s="59" t="s">
        <v>338</v>
      </c>
      <c r="F29" s="22"/>
    </row>
    <row r="30" spans="1:6" x14ac:dyDescent="0.35">
      <c r="A30" s="19" t="s">
        <v>137</v>
      </c>
      <c r="B30" s="26">
        <v>36</v>
      </c>
      <c r="C30" s="22"/>
      <c r="D30" s="22"/>
    </row>
    <row r="31" spans="1:6" x14ac:dyDescent="0.35">
      <c r="A31" s="60" t="s">
        <v>138</v>
      </c>
      <c r="B31" s="27">
        <v>5.25</v>
      </c>
    </row>
    <row r="32" spans="1:6" x14ac:dyDescent="0.35">
      <c r="A32" s="60" t="s">
        <v>340</v>
      </c>
      <c r="B32" s="62">
        <v>1200</v>
      </c>
    </row>
    <row r="33" spans="1:6" x14ac:dyDescent="0.35">
      <c r="A33" s="60" t="s">
        <v>341</v>
      </c>
      <c r="B33" s="62">
        <v>1200</v>
      </c>
    </row>
    <row r="34" spans="1:6" x14ac:dyDescent="0.35">
      <c r="A34" s="60" t="s">
        <v>342</v>
      </c>
      <c r="B34" s="62">
        <v>500</v>
      </c>
    </row>
    <row r="35" spans="1:6" x14ac:dyDescent="0.35">
      <c r="A35" s="60" t="s">
        <v>343</v>
      </c>
      <c r="B35" s="62">
        <v>400</v>
      </c>
    </row>
    <row r="36" spans="1:6" x14ac:dyDescent="0.35">
      <c r="A36" s="60"/>
    </row>
    <row r="37" spans="1:6" x14ac:dyDescent="0.35">
      <c r="A37" s="19" t="s">
        <v>139</v>
      </c>
      <c r="C37" s="61">
        <v>310.22000000000003</v>
      </c>
      <c r="D37" s="61">
        <v>204.87</v>
      </c>
      <c r="E37" s="60" t="s">
        <v>523</v>
      </c>
    </row>
    <row r="38" spans="1:6" x14ac:dyDescent="0.35">
      <c r="A38" s="23" t="s">
        <v>140</v>
      </c>
      <c r="C38" s="28">
        <f>(C37-F27)/(F26-F27)</f>
        <v>0.42608827413035477</v>
      </c>
      <c r="D38" s="28">
        <f>(D37-F27)/(F26-F27)</f>
        <v>0.14103188518734983</v>
      </c>
      <c r="E38" s="60" t="s">
        <v>339</v>
      </c>
      <c r="F38" s="29" t="s">
        <v>141</v>
      </c>
    </row>
    <row r="39" spans="1:6" x14ac:dyDescent="0.35">
      <c r="A39" s="23"/>
      <c r="D39" s="29"/>
    </row>
    <row r="40" spans="1:6" x14ac:dyDescent="0.35">
      <c r="A40" s="30" t="s">
        <v>142</v>
      </c>
      <c r="C40" s="22"/>
      <c r="D40" s="22"/>
    </row>
    <row r="41" spans="1:6" x14ac:dyDescent="0.35">
      <c r="A41" s="31" t="s">
        <v>143</v>
      </c>
      <c r="B41" s="32"/>
      <c r="C41" s="33">
        <v>271</v>
      </c>
      <c r="D41" s="34">
        <v>271</v>
      </c>
    </row>
    <row r="42" spans="1:6" x14ac:dyDescent="0.35">
      <c r="A42" s="19" t="s">
        <v>144</v>
      </c>
      <c r="C42" s="35">
        <v>100</v>
      </c>
      <c r="D42" s="35">
        <v>0</v>
      </c>
    </row>
    <row r="43" spans="1:6" ht="29" x14ac:dyDescent="0.35">
      <c r="A43" s="19" t="s">
        <v>145</v>
      </c>
      <c r="C43" s="36">
        <f>IF(C$37&gt;$B$29,(C$37-$B$29)*$B$31,0)</f>
        <v>438.67320000000007</v>
      </c>
      <c r="D43" s="36">
        <f>IF(D$37&gt;$B$29,(D$37-$B$29)*$B$31,0)</f>
        <v>0</v>
      </c>
      <c r="E43" s="37" t="s">
        <v>146</v>
      </c>
      <c r="F43" s="19" t="s">
        <v>147</v>
      </c>
    </row>
    <row r="44" spans="1:6" x14ac:dyDescent="0.35">
      <c r="A44" s="60" t="s">
        <v>344</v>
      </c>
      <c r="C44" s="36"/>
      <c r="D44" s="36"/>
      <c r="E44" s="37"/>
      <c r="F44" s="19"/>
    </row>
    <row r="45" spans="1:6" x14ac:dyDescent="0.35">
      <c r="A45" s="60" t="s">
        <v>345</v>
      </c>
      <c r="C45" s="36"/>
      <c r="D45" s="36"/>
      <c r="E45" s="37"/>
      <c r="F45" s="19"/>
    </row>
    <row r="46" spans="1:6" x14ac:dyDescent="0.35">
      <c r="A46" s="60" t="s">
        <v>346</v>
      </c>
      <c r="C46" s="36"/>
      <c r="D46" s="36"/>
      <c r="E46" s="37"/>
      <c r="F46" s="19"/>
    </row>
    <row r="47" spans="1:6" x14ac:dyDescent="0.35">
      <c r="A47" s="60" t="s">
        <v>347</v>
      </c>
      <c r="C47" s="36"/>
      <c r="D47" s="36"/>
      <c r="E47" s="37"/>
      <c r="F47" s="19"/>
    </row>
    <row r="48" spans="1:6" x14ac:dyDescent="0.35">
      <c r="A48" s="60" t="s">
        <v>348</v>
      </c>
      <c r="C48" s="63"/>
      <c r="D48" s="63"/>
      <c r="E48" s="37"/>
      <c r="F48" s="19"/>
    </row>
    <row r="49" spans="1:6" x14ac:dyDescent="0.35">
      <c r="A49" s="23" t="s">
        <v>148</v>
      </c>
      <c r="C49" s="36">
        <f>SUM(C41:C43)</f>
        <v>809.67320000000007</v>
      </c>
      <c r="D49" s="36">
        <f>SUM(D41:D43)</f>
        <v>271</v>
      </c>
      <c r="E49" s="19" t="s">
        <v>149</v>
      </c>
      <c r="F49" s="22"/>
    </row>
    <row r="50" spans="1:6" x14ac:dyDescent="0.35">
      <c r="F50" s="22"/>
    </row>
    <row r="51" spans="1:6" x14ac:dyDescent="0.35">
      <c r="A51" s="30" t="s">
        <v>150</v>
      </c>
    </row>
    <row r="52" spans="1:6" x14ac:dyDescent="0.35">
      <c r="A52" s="38" t="s">
        <v>151</v>
      </c>
      <c r="C52" s="39">
        <v>667.02864681148469</v>
      </c>
      <c r="D52" s="40">
        <f>C52</f>
        <v>667.02864681148469</v>
      </c>
    </row>
    <row r="53" spans="1:6" x14ac:dyDescent="0.35">
      <c r="A53" s="19" t="s">
        <v>152</v>
      </c>
      <c r="C53" s="36">
        <f>(C43+C42+C41)-C52</f>
        <v>142.64455318851537</v>
      </c>
      <c r="D53" s="36">
        <f>(D43+D42+D41)-D52</f>
        <v>-396.02864681148469</v>
      </c>
      <c r="E53" s="19" t="s">
        <v>153</v>
      </c>
      <c r="F53" s="18" t="s">
        <v>154</v>
      </c>
    </row>
    <row r="55" spans="1:6" ht="18.5" x14ac:dyDescent="0.45">
      <c r="A55" s="64" t="s">
        <v>155</v>
      </c>
    </row>
    <row r="56" spans="1:6" x14ac:dyDescent="0.35">
      <c r="A56" s="41" t="s">
        <v>156</v>
      </c>
    </row>
    <row r="57" spans="1:6" x14ac:dyDescent="0.35">
      <c r="A57" s="42" t="s">
        <v>157</v>
      </c>
    </row>
    <row r="58" spans="1:6" x14ac:dyDescent="0.35">
      <c r="A58" s="43" t="s">
        <v>158</v>
      </c>
    </row>
    <row r="60" spans="1:6" x14ac:dyDescent="0.35">
      <c r="A60" s="44" t="s">
        <v>159</v>
      </c>
      <c r="B60" s="44"/>
      <c r="C60" s="44"/>
      <c r="D60" s="44"/>
      <c r="E60" s="44"/>
    </row>
    <row r="61" spans="1:6" ht="16" x14ac:dyDescent="0.35">
      <c r="A61" s="45" t="s">
        <v>160</v>
      </c>
      <c r="B61" s="2"/>
      <c r="C61" s="2"/>
    </row>
    <row r="62" spans="1:6" ht="16" x14ac:dyDescent="0.35">
      <c r="A62" s="45" t="s">
        <v>161</v>
      </c>
      <c r="B62" s="2"/>
      <c r="C62" s="46"/>
    </row>
    <row r="63" spans="1:6" ht="16" x14ac:dyDescent="0.35">
      <c r="A63" s="45" t="s">
        <v>162</v>
      </c>
      <c r="B63" s="2"/>
      <c r="C63" s="4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7"/>
  <sheetViews>
    <sheetView topLeftCell="A5" workbookViewId="0">
      <selection activeCell="F23" sqref="F23"/>
    </sheetView>
  </sheetViews>
  <sheetFormatPr defaultColWidth="14.453125" defaultRowHeight="14.5" x14ac:dyDescent="0.35"/>
  <cols>
    <col min="1" max="1" width="15.1796875" style="2" customWidth="1"/>
    <col min="2" max="2" width="33.453125" style="2" customWidth="1"/>
    <col min="3" max="3" width="10.81640625" style="2" hidden="1" customWidth="1"/>
    <col min="4" max="4" width="40.81640625" style="2" hidden="1" customWidth="1"/>
    <col min="5" max="5" width="104.81640625" style="2" hidden="1" customWidth="1"/>
    <col min="6" max="6" width="101.453125" style="2" customWidth="1"/>
    <col min="7" max="7" width="13.1796875" style="2" customWidth="1"/>
    <col min="8" max="14" width="9.1796875" style="2" customWidth="1"/>
    <col min="15" max="15" width="13.453125" style="2" customWidth="1"/>
    <col min="16" max="16" width="9.1796875" style="2" customWidth="1"/>
    <col min="17" max="26" width="8.81640625" style="2" customWidth="1"/>
    <col min="27" max="16384" width="14.453125" style="2"/>
  </cols>
  <sheetData>
    <row r="1" spans="1:26" ht="29" x14ac:dyDescent="0.35">
      <c r="A1" s="12" t="s">
        <v>54</v>
      </c>
      <c r="B1" s="12" t="s">
        <v>55</v>
      </c>
      <c r="C1" s="12" t="s">
        <v>56</v>
      </c>
      <c r="D1" s="12" t="s">
        <v>57</v>
      </c>
      <c r="E1" s="12" t="s">
        <v>58</v>
      </c>
      <c r="F1" s="12" t="s">
        <v>163</v>
      </c>
      <c r="G1" s="12" t="s">
        <v>41</v>
      </c>
      <c r="H1" s="47" t="s">
        <v>45</v>
      </c>
      <c r="I1" s="14" t="s">
        <v>46</v>
      </c>
      <c r="J1" s="12" t="s">
        <v>47</v>
      </c>
      <c r="K1" s="12" t="s">
        <v>48</v>
      </c>
      <c r="L1" s="12" t="s">
        <v>49</v>
      </c>
      <c r="M1" s="12" t="s">
        <v>50</v>
      </c>
      <c r="N1" s="12" t="s">
        <v>51</v>
      </c>
      <c r="O1" s="13" t="s">
        <v>52</v>
      </c>
      <c r="P1" s="12" t="s">
        <v>53</v>
      </c>
      <c r="Q1" s="15"/>
      <c r="R1" s="15"/>
      <c r="S1" s="15"/>
      <c r="T1" s="15"/>
      <c r="U1" s="15"/>
      <c r="V1" s="15"/>
      <c r="W1" s="15"/>
      <c r="X1" s="15"/>
      <c r="Y1" s="15"/>
      <c r="Z1" s="15"/>
    </row>
    <row r="2" spans="1:26" x14ac:dyDescent="0.35">
      <c r="A2" s="78" t="s">
        <v>164</v>
      </c>
      <c r="B2" s="78" t="s">
        <v>165</v>
      </c>
      <c r="C2" s="78">
        <v>3.01</v>
      </c>
      <c r="D2" s="78" t="s">
        <v>79</v>
      </c>
      <c r="E2" s="78" t="s">
        <v>166</v>
      </c>
      <c r="F2" s="78" t="s">
        <v>167</v>
      </c>
      <c r="G2" s="78" t="s">
        <v>425</v>
      </c>
      <c r="H2" s="16"/>
      <c r="I2" s="16"/>
      <c r="J2" s="16"/>
      <c r="K2" s="16"/>
      <c r="L2" s="16"/>
      <c r="M2" s="16"/>
      <c r="N2" s="16"/>
      <c r="O2" s="16"/>
      <c r="P2" s="16"/>
      <c r="Q2" s="16"/>
      <c r="R2" s="16"/>
      <c r="S2" s="16"/>
      <c r="T2" s="16"/>
      <c r="U2" s="16"/>
      <c r="V2" s="16"/>
      <c r="W2" s="16"/>
      <c r="X2" s="16"/>
      <c r="Y2" s="16"/>
      <c r="Z2" s="16"/>
    </row>
    <row r="3" spans="1:26" x14ac:dyDescent="0.35">
      <c r="A3" s="78" t="s">
        <v>168</v>
      </c>
      <c r="B3" s="78" t="s">
        <v>165</v>
      </c>
      <c r="C3" s="78" t="s">
        <v>169</v>
      </c>
      <c r="D3" s="78" t="s">
        <v>406</v>
      </c>
      <c r="E3" s="78" t="s">
        <v>170</v>
      </c>
      <c r="F3" s="78" t="s">
        <v>171</v>
      </c>
      <c r="G3" s="78" t="s">
        <v>425</v>
      </c>
      <c r="H3" s="16"/>
      <c r="I3" s="16"/>
      <c r="J3" s="16"/>
      <c r="K3" s="16"/>
      <c r="L3" s="16"/>
      <c r="M3" s="16"/>
      <c r="N3" s="16"/>
      <c r="O3" s="16"/>
      <c r="P3" s="16"/>
      <c r="Q3" s="16"/>
      <c r="R3" s="16"/>
      <c r="S3" s="16"/>
      <c r="T3" s="16"/>
      <c r="U3" s="16"/>
      <c r="V3" s="16"/>
      <c r="W3" s="16"/>
      <c r="X3" s="16"/>
      <c r="Y3" s="16"/>
      <c r="Z3" s="16"/>
    </row>
    <row r="4" spans="1:26" x14ac:dyDescent="0.35">
      <c r="A4" s="78" t="s">
        <v>172</v>
      </c>
      <c r="B4" s="78" t="s">
        <v>165</v>
      </c>
      <c r="C4" s="78" t="s">
        <v>173</v>
      </c>
      <c r="D4" s="78" t="s">
        <v>174</v>
      </c>
      <c r="E4" s="78" t="s">
        <v>175</v>
      </c>
      <c r="F4" s="78" t="s">
        <v>176</v>
      </c>
      <c r="G4" s="78" t="s">
        <v>425</v>
      </c>
      <c r="H4" s="16"/>
      <c r="I4" s="16"/>
      <c r="J4" s="16"/>
      <c r="K4" s="16"/>
      <c r="L4" s="16"/>
      <c r="M4" s="16"/>
      <c r="N4" s="16"/>
      <c r="O4" s="16"/>
      <c r="P4" s="16"/>
      <c r="Q4" s="16"/>
      <c r="R4" s="16"/>
      <c r="S4" s="16"/>
      <c r="T4" s="16"/>
      <c r="U4" s="16"/>
      <c r="V4" s="16"/>
      <c r="W4" s="16"/>
      <c r="X4" s="16"/>
      <c r="Y4" s="16"/>
      <c r="Z4" s="16"/>
    </row>
    <row r="5" spans="1:26" x14ac:dyDescent="0.35">
      <c r="A5" s="78" t="s">
        <v>177</v>
      </c>
      <c r="B5" s="78" t="s">
        <v>165</v>
      </c>
      <c r="C5" s="78" t="s">
        <v>178</v>
      </c>
      <c r="D5" s="78" t="s">
        <v>179</v>
      </c>
      <c r="E5" s="78" t="s">
        <v>180</v>
      </c>
      <c r="F5" s="78" t="s">
        <v>181</v>
      </c>
      <c r="G5" s="78" t="s">
        <v>425</v>
      </c>
      <c r="H5" s="16"/>
      <c r="I5" s="16"/>
      <c r="J5" s="16"/>
      <c r="K5" s="16"/>
      <c r="L5" s="16"/>
      <c r="M5" s="16"/>
      <c r="N5" s="16"/>
      <c r="O5" s="16"/>
      <c r="P5" s="16"/>
      <c r="Q5" s="16"/>
      <c r="R5" s="16"/>
      <c r="S5" s="16"/>
      <c r="T5" s="16"/>
      <c r="U5" s="16"/>
      <c r="V5" s="16"/>
      <c r="W5" s="16"/>
      <c r="X5" s="16"/>
      <c r="Y5" s="16"/>
      <c r="Z5" s="16"/>
    </row>
    <row r="6" spans="1:26" x14ac:dyDescent="0.35">
      <c r="A6" s="78" t="s">
        <v>182</v>
      </c>
      <c r="B6" s="78" t="s">
        <v>165</v>
      </c>
      <c r="C6" s="78" t="s">
        <v>183</v>
      </c>
      <c r="D6" s="78" t="s">
        <v>184</v>
      </c>
      <c r="E6" s="78" t="s">
        <v>185</v>
      </c>
      <c r="F6" s="78" t="s">
        <v>186</v>
      </c>
      <c r="G6" s="78" t="s">
        <v>425</v>
      </c>
      <c r="H6" s="16"/>
      <c r="I6" s="16"/>
      <c r="J6" s="16"/>
      <c r="K6" s="16"/>
      <c r="L6" s="16"/>
      <c r="M6" s="16"/>
      <c r="N6" s="16"/>
      <c r="O6" s="16"/>
      <c r="P6" s="16"/>
      <c r="Q6" s="16"/>
      <c r="R6" s="16"/>
      <c r="S6" s="16"/>
      <c r="T6" s="16"/>
      <c r="U6" s="16"/>
      <c r="V6" s="16"/>
      <c r="W6" s="16"/>
      <c r="X6" s="16"/>
      <c r="Y6" s="16"/>
      <c r="Z6" s="16"/>
    </row>
    <row r="7" spans="1:26" x14ac:dyDescent="0.35">
      <c r="A7" s="78" t="s">
        <v>187</v>
      </c>
      <c r="B7" s="78" t="s">
        <v>165</v>
      </c>
      <c r="C7" s="78" t="s">
        <v>188</v>
      </c>
      <c r="D7" s="78" t="s">
        <v>189</v>
      </c>
      <c r="E7" s="78" t="s">
        <v>190</v>
      </c>
      <c r="F7" s="78" t="s">
        <v>191</v>
      </c>
      <c r="G7" s="78" t="s">
        <v>426</v>
      </c>
      <c r="H7" s="16"/>
      <c r="I7" s="16"/>
      <c r="J7" s="16"/>
      <c r="K7" s="16"/>
      <c r="L7" s="16"/>
      <c r="M7" s="16"/>
      <c r="N7" s="16"/>
      <c r="O7" s="16"/>
      <c r="P7" s="16"/>
      <c r="Q7" s="16"/>
      <c r="R7" s="16"/>
      <c r="S7" s="16"/>
      <c r="T7" s="16"/>
      <c r="U7" s="16"/>
      <c r="V7" s="16"/>
      <c r="W7" s="16"/>
      <c r="X7" s="16"/>
      <c r="Y7" s="16"/>
      <c r="Z7" s="16"/>
    </row>
    <row r="8" spans="1:26" x14ac:dyDescent="0.35">
      <c r="A8" s="78" t="s">
        <v>192</v>
      </c>
      <c r="B8" s="78" t="s">
        <v>165</v>
      </c>
      <c r="C8" s="78" t="s">
        <v>36</v>
      </c>
      <c r="D8" s="78" t="s">
        <v>193</v>
      </c>
      <c r="E8" s="78" t="s">
        <v>194</v>
      </c>
      <c r="F8" s="78" t="s">
        <v>427</v>
      </c>
      <c r="G8" s="78" t="s">
        <v>426</v>
      </c>
      <c r="H8" s="16"/>
      <c r="I8" s="16"/>
      <c r="J8" s="16"/>
      <c r="K8" s="16"/>
      <c r="L8" s="16"/>
      <c r="M8" s="16"/>
      <c r="N8" s="16"/>
      <c r="O8" s="16"/>
      <c r="P8" s="16"/>
      <c r="Q8" s="16"/>
      <c r="R8" s="16"/>
      <c r="S8" s="16"/>
      <c r="T8" s="16"/>
      <c r="U8" s="16"/>
      <c r="V8" s="16"/>
      <c r="W8" s="16"/>
      <c r="X8" s="16"/>
      <c r="Y8" s="16"/>
      <c r="Z8" s="16"/>
    </row>
    <row r="9" spans="1:26" x14ac:dyDescent="0.35">
      <c r="A9" s="78" t="s">
        <v>195</v>
      </c>
      <c r="B9" s="78" t="s">
        <v>198</v>
      </c>
      <c r="C9" s="83"/>
      <c r="D9" s="83"/>
      <c r="E9" s="83"/>
      <c r="F9" s="78" t="s">
        <v>428</v>
      </c>
      <c r="G9" s="78" t="s">
        <v>425</v>
      </c>
      <c r="H9" s="16"/>
      <c r="I9" s="16"/>
      <c r="J9" s="16"/>
      <c r="K9" s="16"/>
      <c r="L9" s="16"/>
      <c r="M9" s="16"/>
      <c r="N9" s="16"/>
      <c r="O9" s="16"/>
      <c r="P9" s="16"/>
      <c r="Q9" s="16"/>
      <c r="R9" s="16"/>
      <c r="S9" s="16"/>
      <c r="T9" s="16"/>
      <c r="U9" s="16"/>
      <c r="V9" s="16"/>
      <c r="W9" s="16"/>
      <c r="X9" s="16"/>
      <c r="Y9" s="16"/>
      <c r="Z9" s="16"/>
    </row>
    <row r="10" spans="1:26" x14ac:dyDescent="0.35">
      <c r="A10" s="78" t="s">
        <v>196</v>
      </c>
      <c r="B10" s="78" t="s">
        <v>198</v>
      </c>
      <c r="C10" s="78" t="s">
        <v>199</v>
      </c>
      <c r="D10" s="78" t="s">
        <v>407</v>
      </c>
      <c r="E10" s="78" t="s">
        <v>408</v>
      </c>
      <c r="F10" s="78" t="s">
        <v>349</v>
      </c>
      <c r="G10" s="78" t="s">
        <v>425</v>
      </c>
      <c r="H10" s="16"/>
      <c r="I10" s="16"/>
      <c r="J10" s="16"/>
      <c r="K10" s="16"/>
      <c r="L10" s="16"/>
      <c r="M10" s="16"/>
      <c r="N10" s="16"/>
      <c r="O10" s="16"/>
      <c r="P10" s="16"/>
      <c r="Q10" s="16"/>
      <c r="R10" s="16"/>
      <c r="S10" s="16"/>
      <c r="T10" s="16"/>
      <c r="U10" s="16"/>
      <c r="V10" s="16"/>
      <c r="W10" s="16"/>
      <c r="X10" s="16"/>
      <c r="Y10" s="16"/>
      <c r="Z10" s="16"/>
    </row>
    <row r="11" spans="1:26" x14ac:dyDescent="0.35">
      <c r="A11" s="78" t="s">
        <v>197</v>
      </c>
      <c r="B11" s="78" t="s">
        <v>198</v>
      </c>
      <c r="C11" s="78" t="s">
        <v>201</v>
      </c>
      <c r="D11" s="78" t="s">
        <v>174</v>
      </c>
      <c r="E11" s="78" t="s">
        <v>202</v>
      </c>
      <c r="F11" s="78" t="s">
        <v>203</v>
      </c>
      <c r="G11" s="78" t="s">
        <v>425</v>
      </c>
      <c r="H11" s="16"/>
      <c r="I11" s="16"/>
      <c r="J11" s="16"/>
      <c r="K11" s="16"/>
      <c r="L11" s="16"/>
      <c r="M11" s="16"/>
      <c r="N11" s="16"/>
      <c r="O11" s="16"/>
      <c r="P11" s="16"/>
      <c r="Q11" s="16"/>
      <c r="R11" s="16"/>
      <c r="S11" s="16"/>
      <c r="T11" s="16"/>
      <c r="U11" s="16"/>
      <c r="V11" s="16"/>
      <c r="W11" s="16"/>
      <c r="X11" s="16"/>
      <c r="Y11" s="16"/>
      <c r="Z11" s="16"/>
    </row>
    <row r="12" spans="1:26" x14ac:dyDescent="0.35">
      <c r="A12" s="78" t="s">
        <v>200</v>
      </c>
      <c r="B12" s="78" t="s">
        <v>198</v>
      </c>
      <c r="C12" s="78" t="s">
        <v>205</v>
      </c>
      <c r="D12" s="78" t="s">
        <v>179</v>
      </c>
      <c r="E12" s="78" t="s">
        <v>206</v>
      </c>
      <c r="F12" s="78" t="s">
        <v>207</v>
      </c>
      <c r="G12" s="78" t="s">
        <v>425</v>
      </c>
      <c r="H12" s="16"/>
      <c r="I12" s="16"/>
      <c r="J12" s="16"/>
      <c r="K12" s="16"/>
      <c r="L12" s="16"/>
      <c r="M12" s="16"/>
      <c r="N12" s="16"/>
      <c r="O12" s="16"/>
      <c r="P12" s="16"/>
      <c r="Q12" s="16"/>
      <c r="R12" s="16"/>
      <c r="S12" s="16"/>
      <c r="T12" s="16"/>
      <c r="U12" s="16"/>
      <c r="V12" s="16"/>
      <c r="W12" s="16"/>
      <c r="X12" s="16"/>
      <c r="Y12" s="16"/>
      <c r="Z12" s="16"/>
    </row>
    <row r="13" spans="1:26" x14ac:dyDescent="0.35">
      <c r="A13" s="78" t="s">
        <v>204</v>
      </c>
      <c r="B13" s="78" t="s">
        <v>198</v>
      </c>
      <c r="C13" s="78" t="s">
        <v>209</v>
      </c>
      <c r="D13" s="78" t="s">
        <v>184</v>
      </c>
      <c r="E13" s="78" t="s">
        <v>210</v>
      </c>
      <c r="F13" s="78" t="s">
        <v>211</v>
      </c>
      <c r="G13" s="78" t="s">
        <v>425</v>
      </c>
      <c r="H13" s="16"/>
      <c r="I13" s="16"/>
      <c r="J13" s="16"/>
      <c r="K13" s="16"/>
      <c r="L13" s="16"/>
      <c r="M13" s="16"/>
      <c r="N13" s="16"/>
      <c r="O13" s="16"/>
      <c r="P13" s="16"/>
      <c r="Q13" s="16"/>
      <c r="R13" s="16"/>
      <c r="S13" s="16"/>
      <c r="T13" s="16"/>
      <c r="U13" s="16"/>
      <c r="V13" s="16"/>
      <c r="W13" s="16"/>
      <c r="X13" s="16"/>
      <c r="Y13" s="16"/>
      <c r="Z13" s="16"/>
    </row>
    <row r="14" spans="1:26" x14ac:dyDescent="0.35">
      <c r="A14" s="78" t="s">
        <v>208</v>
      </c>
      <c r="B14" s="78" t="s">
        <v>198</v>
      </c>
      <c r="C14" s="78" t="s">
        <v>213</v>
      </c>
      <c r="D14" s="78" t="s">
        <v>189</v>
      </c>
      <c r="E14" s="78" t="s">
        <v>214</v>
      </c>
      <c r="F14" s="79" t="s">
        <v>215</v>
      </c>
      <c r="G14" s="78" t="s">
        <v>426</v>
      </c>
      <c r="H14" s="16"/>
      <c r="I14" s="16"/>
      <c r="J14" s="16"/>
      <c r="K14" s="16"/>
      <c r="L14" s="16"/>
      <c r="M14" s="16"/>
      <c r="N14" s="16"/>
      <c r="O14" s="16"/>
      <c r="P14" s="16"/>
      <c r="Q14" s="16"/>
      <c r="R14" s="16"/>
      <c r="S14" s="16"/>
      <c r="T14" s="16"/>
      <c r="U14" s="16"/>
      <c r="V14" s="16"/>
      <c r="W14" s="16"/>
      <c r="X14" s="16"/>
      <c r="Y14" s="16"/>
      <c r="Z14" s="16"/>
    </row>
    <row r="15" spans="1:26" x14ac:dyDescent="0.35">
      <c r="A15" s="78" t="s">
        <v>212</v>
      </c>
      <c r="B15" s="78" t="s">
        <v>198</v>
      </c>
      <c r="C15" s="78" t="s">
        <v>36</v>
      </c>
      <c r="D15" s="79"/>
      <c r="E15" s="78" t="s">
        <v>218</v>
      </c>
      <c r="F15" s="79" t="s">
        <v>219</v>
      </c>
      <c r="G15" s="78" t="s">
        <v>426</v>
      </c>
      <c r="H15" s="16"/>
      <c r="I15" s="16"/>
      <c r="J15" s="16"/>
      <c r="K15" s="16"/>
      <c r="L15" s="16"/>
      <c r="M15" s="16"/>
      <c r="N15" s="16"/>
      <c r="O15" s="16"/>
      <c r="P15" s="16"/>
      <c r="Q15" s="16"/>
      <c r="R15" s="16"/>
      <c r="S15" s="16"/>
      <c r="T15" s="16"/>
      <c r="U15" s="16"/>
      <c r="V15" s="16"/>
      <c r="W15" s="16"/>
      <c r="X15" s="16"/>
      <c r="Y15" s="16"/>
      <c r="Z15" s="16"/>
    </row>
    <row r="16" spans="1:26" x14ac:dyDescent="0.35">
      <c r="A16" s="78" t="s">
        <v>216</v>
      </c>
      <c r="B16" s="78" t="s">
        <v>429</v>
      </c>
      <c r="C16" s="78" t="s">
        <v>222</v>
      </c>
      <c r="D16" s="78" t="s">
        <v>409</v>
      </c>
      <c r="E16" s="78" t="s">
        <v>410</v>
      </c>
      <c r="F16" s="78" t="s">
        <v>430</v>
      </c>
      <c r="G16" s="78" t="s">
        <v>425</v>
      </c>
      <c r="H16" s="16"/>
      <c r="I16" s="16"/>
      <c r="J16" s="16"/>
      <c r="K16" s="16"/>
      <c r="L16" s="16"/>
      <c r="M16" s="16"/>
      <c r="N16" s="16"/>
      <c r="O16" s="16"/>
      <c r="P16" s="16"/>
      <c r="Q16" s="16"/>
      <c r="R16" s="16"/>
      <c r="S16" s="16"/>
      <c r="T16" s="16"/>
      <c r="U16" s="16"/>
      <c r="V16" s="16"/>
      <c r="W16" s="16"/>
      <c r="X16" s="16"/>
      <c r="Y16" s="16"/>
      <c r="Z16" s="16"/>
    </row>
    <row r="17" spans="1:26" x14ac:dyDescent="0.35">
      <c r="A17" s="78" t="s">
        <v>217</v>
      </c>
      <c r="B17" s="78" t="s">
        <v>429</v>
      </c>
      <c r="C17" s="78" t="s">
        <v>224</v>
      </c>
      <c r="D17" s="78" t="s">
        <v>225</v>
      </c>
      <c r="E17" s="78" t="s">
        <v>226</v>
      </c>
      <c r="F17" s="78" t="s">
        <v>227</v>
      </c>
      <c r="G17" s="78" t="s">
        <v>426</v>
      </c>
      <c r="H17" s="16"/>
      <c r="I17" s="16"/>
      <c r="J17" s="16"/>
      <c r="K17" s="16"/>
      <c r="L17" s="16"/>
      <c r="M17" s="16"/>
      <c r="N17" s="16"/>
      <c r="O17" s="16"/>
      <c r="P17" s="16"/>
      <c r="Q17" s="16"/>
      <c r="R17" s="16"/>
      <c r="S17" s="16"/>
      <c r="T17" s="16"/>
      <c r="U17" s="16"/>
      <c r="V17" s="16"/>
      <c r="W17" s="16"/>
      <c r="X17" s="16"/>
      <c r="Y17" s="16"/>
      <c r="Z17" s="16"/>
    </row>
    <row r="18" spans="1:26" x14ac:dyDescent="0.35">
      <c r="A18" s="78" t="s">
        <v>220</v>
      </c>
      <c r="B18" s="78" t="s">
        <v>429</v>
      </c>
      <c r="C18" s="78" t="s">
        <v>229</v>
      </c>
      <c r="D18" s="78" t="s">
        <v>230</v>
      </c>
      <c r="E18" s="78" t="s">
        <v>231</v>
      </c>
      <c r="F18" s="78" t="s">
        <v>431</v>
      </c>
      <c r="G18" s="78" t="s">
        <v>432</v>
      </c>
      <c r="H18" s="16"/>
      <c r="I18" s="16"/>
      <c r="J18" s="16"/>
      <c r="K18" s="16"/>
      <c r="L18" s="16"/>
      <c r="M18" s="16"/>
      <c r="N18" s="16"/>
      <c r="O18" s="16"/>
      <c r="P18" s="16"/>
      <c r="Q18" s="16"/>
      <c r="R18" s="16"/>
      <c r="S18" s="16"/>
      <c r="T18" s="16"/>
      <c r="U18" s="16"/>
      <c r="V18" s="16"/>
      <c r="W18" s="16"/>
      <c r="X18" s="16"/>
      <c r="Y18" s="16"/>
      <c r="Z18" s="16"/>
    </row>
    <row r="19" spans="1:26" x14ac:dyDescent="0.35">
      <c r="A19" s="78" t="s">
        <v>221</v>
      </c>
      <c r="B19" s="78" t="s">
        <v>429</v>
      </c>
      <c r="C19" s="78"/>
      <c r="D19" s="78"/>
      <c r="E19" s="78"/>
      <c r="F19" s="78" t="s">
        <v>191</v>
      </c>
      <c r="G19" s="78" t="s">
        <v>426</v>
      </c>
      <c r="H19" s="16"/>
      <c r="I19" s="16"/>
      <c r="J19" s="16"/>
      <c r="K19" s="16"/>
      <c r="L19" s="16"/>
      <c r="M19" s="16"/>
      <c r="N19" s="16"/>
      <c r="O19" s="16"/>
      <c r="P19" s="16"/>
      <c r="Q19" s="16"/>
      <c r="R19" s="16"/>
      <c r="S19" s="16"/>
      <c r="T19" s="16"/>
      <c r="U19" s="16"/>
      <c r="V19" s="16"/>
      <c r="W19" s="16"/>
      <c r="X19" s="16"/>
      <c r="Y19" s="16"/>
      <c r="Z19" s="16"/>
    </row>
    <row r="20" spans="1:26" x14ac:dyDescent="0.35">
      <c r="A20" s="78" t="s">
        <v>223</v>
      </c>
      <c r="B20" s="78" t="s">
        <v>429</v>
      </c>
      <c r="C20" s="78"/>
      <c r="D20" s="78"/>
      <c r="E20" s="78"/>
      <c r="F20" s="78" t="s">
        <v>427</v>
      </c>
      <c r="G20" s="78" t="s">
        <v>426</v>
      </c>
      <c r="H20" s="16"/>
      <c r="I20" s="16"/>
      <c r="J20" s="16"/>
      <c r="K20" s="16"/>
      <c r="L20" s="16"/>
      <c r="M20" s="16"/>
      <c r="N20" s="16"/>
      <c r="O20" s="16"/>
      <c r="P20" s="16"/>
      <c r="Q20" s="16"/>
      <c r="R20" s="16"/>
      <c r="S20" s="16"/>
      <c r="T20" s="16"/>
      <c r="U20" s="16"/>
      <c r="V20" s="16"/>
      <c r="W20" s="16"/>
      <c r="X20" s="16"/>
      <c r="Y20" s="16"/>
      <c r="Z20" s="16"/>
    </row>
    <row r="21" spans="1:26" ht="15.75" customHeight="1" x14ac:dyDescent="0.35">
      <c r="A21" s="84" t="s">
        <v>228</v>
      </c>
      <c r="B21" s="84" t="s">
        <v>234</v>
      </c>
      <c r="C21" s="84" t="s">
        <v>235</v>
      </c>
      <c r="D21" s="84" t="s">
        <v>411</v>
      </c>
      <c r="E21" s="84" t="s">
        <v>412</v>
      </c>
      <c r="F21" s="84" t="s">
        <v>433</v>
      </c>
      <c r="G21" s="84" t="s">
        <v>426</v>
      </c>
      <c r="H21" s="16"/>
      <c r="I21" s="16"/>
      <c r="J21" s="16"/>
      <c r="K21" s="16"/>
      <c r="L21" s="16"/>
      <c r="M21" s="16"/>
      <c r="N21" s="16"/>
      <c r="O21" s="16"/>
      <c r="P21" s="16"/>
      <c r="Q21" s="16"/>
      <c r="R21" s="16"/>
      <c r="S21" s="16"/>
      <c r="T21" s="16"/>
      <c r="U21" s="16"/>
      <c r="V21" s="16"/>
      <c r="W21" s="16"/>
      <c r="X21" s="16"/>
      <c r="Y21" s="16"/>
      <c r="Z21" s="16"/>
    </row>
    <row r="22" spans="1:26" ht="15.75" customHeight="1" x14ac:dyDescent="0.35">
      <c r="A22" s="78" t="s">
        <v>232</v>
      </c>
      <c r="B22" s="78" t="s">
        <v>234</v>
      </c>
      <c r="C22" s="78" t="s">
        <v>236</v>
      </c>
      <c r="D22" s="78" t="s">
        <v>237</v>
      </c>
      <c r="E22" s="78" t="s">
        <v>238</v>
      </c>
      <c r="F22" s="78" t="s">
        <v>191</v>
      </c>
      <c r="G22" s="78" t="s">
        <v>426</v>
      </c>
      <c r="H22" s="16"/>
      <c r="I22" s="16"/>
      <c r="J22" s="16"/>
      <c r="K22" s="16"/>
      <c r="L22" s="16"/>
      <c r="M22" s="16"/>
      <c r="N22" s="16"/>
      <c r="O22" s="16"/>
      <c r="P22" s="16"/>
      <c r="Q22" s="16"/>
      <c r="R22" s="16"/>
      <c r="S22" s="16"/>
      <c r="T22" s="16"/>
      <c r="U22" s="16"/>
      <c r="V22" s="16"/>
      <c r="W22" s="16"/>
      <c r="X22" s="16"/>
      <c r="Y22" s="16"/>
      <c r="Z22" s="16"/>
    </row>
    <row r="23" spans="1:26" ht="15.75" customHeight="1" x14ac:dyDescent="0.35">
      <c r="A23" s="78" t="s">
        <v>233</v>
      </c>
      <c r="B23" s="78" t="s">
        <v>234</v>
      </c>
      <c r="C23" s="80"/>
      <c r="D23" s="80"/>
      <c r="E23" s="80"/>
      <c r="F23" s="78" t="s">
        <v>427</v>
      </c>
      <c r="G23" s="78" t="s">
        <v>426</v>
      </c>
      <c r="H23" s="16"/>
      <c r="I23" s="16"/>
      <c r="J23" s="16"/>
      <c r="K23" s="16"/>
      <c r="L23" s="16"/>
      <c r="M23" s="16"/>
      <c r="N23" s="16"/>
      <c r="O23" s="16"/>
      <c r="P23" s="16"/>
      <c r="Q23" s="16"/>
      <c r="R23" s="16"/>
      <c r="S23" s="16"/>
      <c r="T23" s="16"/>
      <c r="U23" s="16"/>
      <c r="V23" s="16"/>
      <c r="W23" s="16"/>
      <c r="X23" s="16"/>
      <c r="Y23" s="16"/>
      <c r="Z23" s="16"/>
    </row>
    <row r="24" spans="1:26" ht="15.75" customHeight="1" x14ac:dyDescent="0.35">
      <c r="A24" s="9"/>
      <c r="B24" s="9"/>
      <c r="C24" s="9"/>
      <c r="D24" s="9"/>
      <c r="E24" s="9"/>
      <c r="F24" s="9"/>
      <c r="G24" s="9"/>
      <c r="H24" s="16"/>
      <c r="I24" s="16"/>
      <c r="J24" s="16"/>
      <c r="K24" s="16"/>
      <c r="L24" s="16"/>
      <c r="M24" s="16"/>
      <c r="N24" s="16"/>
      <c r="O24" s="16"/>
      <c r="P24" s="16"/>
      <c r="Q24" s="16"/>
      <c r="R24" s="16"/>
      <c r="S24" s="16"/>
      <c r="T24" s="16"/>
      <c r="U24" s="16"/>
      <c r="V24" s="16"/>
      <c r="W24" s="16"/>
      <c r="X24" s="16"/>
      <c r="Y24" s="16"/>
      <c r="Z24" s="16"/>
    </row>
    <row r="25" spans="1:26" ht="15.75" customHeight="1" x14ac:dyDescent="0.35">
      <c r="A25" s="9"/>
      <c r="B25" s="9"/>
      <c r="C25" s="9"/>
      <c r="D25" s="9"/>
      <c r="E25" s="9"/>
      <c r="F25" s="9"/>
      <c r="G25" s="9"/>
      <c r="H25" s="16"/>
      <c r="I25" s="16"/>
      <c r="J25" s="16"/>
      <c r="K25" s="16"/>
      <c r="L25" s="16"/>
      <c r="M25" s="16"/>
      <c r="N25" s="16"/>
      <c r="O25" s="16"/>
      <c r="P25" s="16"/>
      <c r="Q25" s="16"/>
      <c r="R25" s="16"/>
      <c r="S25" s="16"/>
      <c r="T25" s="16"/>
      <c r="U25" s="16"/>
      <c r="V25" s="16"/>
      <c r="W25" s="16"/>
      <c r="X25" s="16"/>
      <c r="Y25" s="16"/>
      <c r="Z25" s="16"/>
    </row>
    <row r="26" spans="1:26" ht="15.75" customHeight="1" x14ac:dyDescent="0.35">
      <c r="A26" s="9"/>
      <c r="B26" s="9"/>
      <c r="C26" s="9"/>
      <c r="D26" s="9"/>
      <c r="E26" s="9"/>
      <c r="F26" s="9"/>
      <c r="G26" s="9"/>
      <c r="H26" s="16"/>
      <c r="I26" s="16"/>
      <c r="J26" s="16"/>
      <c r="K26" s="16"/>
      <c r="L26" s="16"/>
      <c r="M26" s="16"/>
      <c r="N26" s="16"/>
      <c r="O26" s="16"/>
      <c r="P26" s="16"/>
      <c r="Q26" s="16"/>
      <c r="R26" s="16"/>
      <c r="S26" s="16"/>
      <c r="T26" s="16"/>
      <c r="U26" s="16"/>
      <c r="V26" s="16"/>
      <c r="W26" s="16"/>
      <c r="X26" s="16"/>
      <c r="Y26" s="16"/>
      <c r="Z26" s="16"/>
    </row>
    <row r="27" spans="1:26" ht="15.75" customHeight="1" x14ac:dyDescent="0.35">
      <c r="A27" s="9"/>
      <c r="B27" s="9"/>
      <c r="C27" s="9"/>
      <c r="D27" s="9"/>
      <c r="E27" s="9"/>
      <c r="F27" s="9"/>
      <c r="G27" s="9"/>
      <c r="H27" s="16"/>
      <c r="I27" s="16"/>
      <c r="J27" s="16"/>
      <c r="K27" s="16"/>
      <c r="L27" s="16"/>
      <c r="M27" s="16"/>
      <c r="N27" s="16"/>
      <c r="O27" s="16"/>
      <c r="P27" s="16"/>
      <c r="Q27" s="16"/>
      <c r="R27" s="16"/>
      <c r="S27" s="16"/>
      <c r="T27" s="16"/>
      <c r="U27" s="16"/>
      <c r="V27" s="16"/>
      <c r="W27" s="16"/>
      <c r="X27" s="16"/>
      <c r="Y27" s="16"/>
      <c r="Z27" s="16"/>
    </row>
    <row r="28" spans="1:26" ht="15.75" customHeight="1" x14ac:dyDescent="0.35">
      <c r="A28" s="9"/>
      <c r="B28" s="9"/>
      <c r="C28" s="9"/>
      <c r="D28" s="9"/>
      <c r="E28" s="9"/>
      <c r="F28" s="9"/>
      <c r="G28" s="9"/>
      <c r="H28" s="16"/>
      <c r="I28" s="16"/>
      <c r="J28" s="16"/>
      <c r="K28" s="16"/>
      <c r="L28" s="16"/>
      <c r="M28" s="16"/>
      <c r="N28" s="16"/>
      <c r="O28" s="16"/>
      <c r="P28" s="16"/>
      <c r="Q28" s="16"/>
      <c r="R28" s="16"/>
      <c r="S28" s="16"/>
      <c r="T28" s="16"/>
      <c r="U28" s="16"/>
      <c r="V28" s="16"/>
      <c r="W28" s="16"/>
      <c r="X28" s="16"/>
      <c r="Y28" s="16"/>
      <c r="Z28" s="16"/>
    </row>
    <row r="29" spans="1:26" ht="15.75" customHeight="1" x14ac:dyDescent="0.35">
      <c r="A29" s="9"/>
      <c r="B29" s="9"/>
      <c r="C29" s="9"/>
      <c r="D29" s="9"/>
      <c r="E29" s="9"/>
      <c r="F29" s="9"/>
      <c r="G29" s="9"/>
      <c r="H29" s="16"/>
      <c r="I29" s="16"/>
      <c r="J29" s="16"/>
      <c r="K29" s="16"/>
      <c r="L29" s="16"/>
      <c r="M29" s="16"/>
      <c r="N29" s="16"/>
      <c r="O29" s="16"/>
      <c r="P29" s="16"/>
      <c r="Q29" s="16"/>
      <c r="R29" s="16"/>
      <c r="S29" s="16"/>
      <c r="T29" s="16"/>
      <c r="U29" s="16"/>
      <c r="V29" s="16"/>
      <c r="W29" s="16"/>
      <c r="X29" s="16"/>
      <c r="Y29" s="16"/>
      <c r="Z29" s="16"/>
    </row>
    <row r="30" spans="1:26" ht="15.75" customHeight="1" x14ac:dyDescent="0.35">
      <c r="A30" s="9"/>
      <c r="B30" s="9"/>
      <c r="C30" s="9"/>
      <c r="D30" s="9"/>
      <c r="E30" s="9"/>
      <c r="F30" s="9"/>
      <c r="G30" s="9"/>
      <c r="H30" s="16"/>
      <c r="I30" s="16"/>
      <c r="J30" s="16"/>
      <c r="K30" s="16"/>
      <c r="L30" s="16"/>
      <c r="M30" s="16"/>
      <c r="N30" s="16"/>
      <c r="O30" s="16"/>
      <c r="P30" s="16"/>
      <c r="Q30" s="16"/>
      <c r="R30" s="16"/>
      <c r="S30" s="16"/>
      <c r="T30" s="16"/>
      <c r="U30" s="16"/>
      <c r="V30" s="16"/>
      <c r="W30" s="16"/>
      <c r="X30" s="16"/>
      <c r="Y30" s="16"/>
      <c r="Z30" s="16"/>
    </row>
    <row r="31" spans="1:26" ht="15.75" customHeight="1" x14ac:dyDescent="0.35">
      <c r="A31" s="9"/>
      <c r="B31" s="9"/>
      <c r="C31" s="9"/>
      <c r="D31" s="9"/>
      <c r="E31" s="9"/>
      <c r="F31" s="9"/>
      <c r="G31" s="9"/>
      <c r="H31" s="16"/>
      <c r="I31" s="16"/>
      <c r="J31" s="16"/>
      <c r="K31" s="16"/>
      <c r="L31" s="16"/>
      <c r="M31" s="16"/>
      <c r="N31" s="16"/>
      <c r="O31" s="16"/>
      <c r="P31" s="16"/>
      <c r="Q31" s="16"/>
      <c r="R31" s="16"/>
      <c r="S31" s="16"/>
      <c r="T31" s="16"/>
      <c r="U31" s="16"/>
      <c r="V31" s="16"/>
      <c r="W31" s="16"/>
      <c r="X31" s="16"/>
      <c r="Y31" s="16"/>
      <c r="Z31" s="16"/>
    </row>
    <row r="32" spans="1:26" ht="15.75" customHeight="1" x14ac:dyDescent="0.35">
      <c r="A32" s="9"/>
      <c r="B32" s="9"/>
      <c r="C32" s="9"/>
      <c r="D32" s="9"/>
      <c r="E32" s="9"/>
      <c r="F32" s="9"/>
      <c r="G32" s="9"/>
      <c r="H32" s="16"/>
      <c r="I32" s="16"/>
      <c r="J32" s="16"/>
      <c r="K32" s="16"/>
      <c r="L32" s="16"/>
      <c r="M32" s="16"/>
      <c r="N32" s="16"/>
      <c r="O32" s="16"/>
      <c r="P32" s="16"/>
      <c r="Q32" s="16"/>
      <c r="R32" s="16"/>
      <c r="S32" s="16"/>
      <c r="T32" s="16"/>
      <c r="U32" s="16"/>
      <c r="V32" s="16"/>
      <c r="W32" s="16"/>
      <c r="X32" s="16"/>
      <c r="Y32" s="16"/>
      <c r="Z32" s="16"/>
    </row>
    <row r="33" spans="1:26" ht="15.75" customHeight="1" x14ac:dyDescent="0.35">
      <c r="A33" s="9"/>
      <c r="B33" s="9"/>
      <c r="C33" s="9"/>
      <c r="D33" s="9"/>
      <c r="E33" s="9"/>
      <c r="F33" s="9"/>
      <c r="G33" s="9"/>
      <c r="H33" s="16"/>
      <c r="I33" s="16"/>
      <c r="J33" s="16"/>
      <c r="K33" s="16"/>
      <c r="L33" s="16"/>
      <c r="M33" s="16"/>
      <c r="N33" s="16"/>
      <c r="O33" s="16"/>
      <c r="P33" s="16"/>
      <c r="Q33" s="16"/>
      <c r="R33" s="16"/>
      <c r="S33" s="16"/>
      <c r="T33" s="16"/>
      <c r="U33" s="16"/>
      <c r="V33" s="16"/>
      <c r="W33" s="16"/>
      <c r="X33" s="16"/>
      <c r="Y33" s="16"/>
      <c r="Z33" s="16"/>
    </row>
    <row r="34" spans="1:26" ht="15.75" customHeight="1" x14ac:dyDescent="0.35">
      <c r="A34" s="9"/>
      <c r="B34" s="9"/>
      <c r="C34" s="9"/>
      <c r="D34" s="9"/>
      <c r="E34" s="9"/>
      <c r="F34" s="9"/>
      <c r="G34" s="9"/>
      <c r="H34" s="16"/>
      <c r="I34" s="16"/>
      <c r="J34" s="16"/>
      <c r="K34" s="16"/>
      <c r="L34" s="16"/>
      <c r="M34" s="16"/>
      <c r="N34" s="16"/>
      <c r="O34" s="16"/>
      <c r="P34" s="16"/>
      <c r="Q34" s="16"/>
      <c r="R34" s="16"/>
      <c r="S34" s="16"/>
      <c r="T34" s="16"/>
      <c r="U34" s="16"/>
      <c r="V34" s="16"/>
      <c r="W34" s="16"/>
      <c r="X34" s="16"/>
      <c r="Y34" s="16"/>
      <c r="Z34" s="16"/>
    </row>
    <row r="35" spans="1:26" ht="15.75" customHeight="1" x14ac:dyDescent="0.35">
      <c r="A35" s="9"/>
      <c r="B35" s="9"/>
      <c r="C35" s="9"/>
      <c r="D35" s="9"/>
      <c r="E35" s="9"/>
      <c r="F35" s="9"/>
      <c r="G35" s="9"/>
      <c r="H35" s="16"/>
      <c r="I35" s="16"/>
      <c r="J35" s="16"/>
      <c r="K35" s="16"/>
      <c r="L35" s="16"/>
      <c r="M35" s="16"/>
      <c r="N35" s="16"/>
      <c r="O35" s="16"/>
      <c r="P35" s="16"/>
      <c r="Q35" s="16"/>
      <c r="R35" s="16"/>
      <c r="S35" s="16"/>
      <c r="T35" s="16"/>
      <c r="U35" s="16"/>
      <c r="V35" s="16"/>
      <c r="W35" s="16"/>
      <c r="X35" s="16"/>
      <c r="Y35" s="16"/>
      <c r="Z35" s="16"/>
    </row>
    <row r="36" spans="1:26" ht="15.75" customHeight="1" x14ac:dyDescent="0.35">
      <c r="A36" s="9"/>
      <c r="B36" s="9"/>
      <c r="C36" s="9"/>
      <c r="D36" s="9"/>
      <c r="E36" s="9"/>
      <c r="F36" s="9"/>
      <c r="G36" s="9"/>
      <c r="H36" s="16"/>
      <c r="I36" s="16"/>
      <c r="J36" s="16"/>
      <c r="K36" s="16"/>
      <c r="L36" s="16"/>
      <c r="M36" s="16"/>
      <c r="N36" s="16"/>
      <c r="O36" s="16"/>
      <c r="P36" s="16"/>
      <c r="Q36" s="16"/>
      <c r="R36" s="16"/>
      <c r="S36" s="16"/>
      <c r="T36" s="16"/>
      <c r="U36" s="16"/>
      <c r="V36" s="16"/>
      <c r="W36" s="16"/>
      <c r="X36" s="16"/>
      <c r="Y36" s="16"/>
      <c r="Z36" s="16"/>
    </row>
    <row r="37" spans="1:26" ht="15.75" customHeight="1" x14ac:dyDescent="0.35">
      <c r="A37" s="9"/>
      <c r="B37" s="9"/>
      <c r="C37" s="9"/>
      <c r="D37" s="9"/>
      <c r="E37" s="9"/>
      <c r="F37" s="9"/>
      <c r="G37" s="9"/>
      <c r="H37" s="16"/>
      <c r="I37" s="16"/>
      <c r="J37" s="16"/>
      <c r="K37" s="16"/>
      <c r="L37" s="16"/>
      <c r="M37" s="16"/>
      <c r="N37" s="16"/>
      <c r="O37" s="16"/>
      <c r="P37" s="16"/>
      <c r="Q37" s="16"/>
      <c r="R37" s="16"/>
      <c r="S37" s="16"/>
      <c r="T37" s="16"/>
      <c r="U37" s="16"/>
      <c r="V37" s="16"/>
      <c r="W37" s="16"/>
      <c r="X37" s="16"/>
      <c r="Y37" s="16"/>
      <c r="Z37" s="16"/>
    </row>
    <row r="38" spans="1:26" ht="15.75" customHeight="1" x14ac:dyDescent="0.35">
      <c r="A38" s="9"/>
      <c r="B38" s="9"/>
      <c r="C38" s="9"/>
      <c r="D38" s="9"/>
      <c r="E38" s="9"/>
      <c r="F38" s="9"/>
      <c r="G38" s="9"/>
      <c r="H38" s="16"/>
      <c r="I38" s="16"/>
      <c r="J38" s="16"/>
      <c r="K38" s="16"/>
      <c r="L38" s="16"/>
      <c r="M38" s="16"/>
      <c r="N38" s="16"/>
      <c r="O38" s="16"/>
      <c r="P38" s="16"/>
      <c r="Q38" s="16"/>
      <c r="R38" s="16"/>
      <c r="S38" s="16"/>
      <c r="T38" s="16"/>
      <c r="U38" s="16"/>
      <c r="V38" s="16"/>
      <c r="W38" s="16"/>
      <c r="X38" s="16"/>
      <c r="Y38" s="16"/>
      <c r="Z38" s="16"/>
    </row>
    <row r="39" spans="1:26" ht="15.75" customHeight="1" x14ac:dyDescent="0.35">
      <c r="A39" s="9"/>
      <c r="B39" s="9"/>
      <c r="C39" s="9"/>
      <c r="D39" s="9"/>
      <c r="E39" s="9"/>
      <c r="F39" s="9"/>
      <c r="G39" s="9"/>
      <c r="H39" s="16"/>
      <c r="I39" s="16"/>
      <c r="J39" s="16"/>
      <c r="K39" s="16"/>
      <c r="L39" s="16"/>
      <c r="M39" s="16"/>
      <c r="N39" s="16"/>
      <c r="O39" s="16"/>
      <c r="P39" s="16"/>
      <c r="Q39" s="16"/>
      <c r="R39" s="16"/>
      <c r="S39" s="16"/>
      <c r="T39" s="16"/>
      <c r="U39" s="16"/>
      <c r="V39" s="16"/>
      <c r="W39" s="16"/>
      <c r="X39" s="16"/>
      <c r="Y39" s="16"/>
      <c r="Z39" s="16"/>
    </row>
    <row r="40" spans="1:26" ht="15.75" customHeight="1" x14ac:dyDescent="0.35">
      <c r="A40" s="9"/>
      <c r="B40" s="9"/>
      <c r="C40" s="9"/>
      <c r="D40" s="9"/>
      <c r="E40" s="9"/>
      <c r="F40" s="9"/>
      <c r="G40" s="9"/>
      <c r="H40" s="16"/>
      <c r="I40" s="16"/>
      <c r="J40" s="16"/>
      <c r="K40" s="16"/>
      <c r="L40" s="16"/>
      <c r="M40" s="16"/>
      <c r="N40" s="16"/>
      <c r="O40" s="16"/>
      <c r="P40" s="16"/>
      <c r="Q40" s="16"/>
      <c r="R40" s="16"/>
      <c r="S40" s="16"/>
      <c r="T40" s="16"/>
      <c r="U40" s="16"/>
      <c r="V40" s="16"/>
      <c r="W40" s="16"/>
      <c r="X40" s="16"/>
      <c r="Y40" s="16"/>
      <c r="Z40" s="16"/>
    </row>
    <row r="41" spans="1:26" ht="15.75" customHeight="1" x14ac:dyDescent="0.35">
      <c r="A41" s="9"/>
      <c r="B41" s="9"/>
      <c r="C41" s="9"/>
      <c r="D41" s="9"/>
      <c r="E41" s="9"/>
      <c r="F41" s="9"/>
      <c r="G41" s="9"/>
      <c r="H41" s="16"/>
      <c r="I41" s="16"/>
      <c r="J41" s="16"/>
      <c r="K41" s="16"/>
      <c r="L41" s="16"/>
      <c r="M41" s="16"/>
      <c r="N41" s="16"/>
      <c r="O41" s="16"/>
      <c r="P41" s="16"/>
      <c r="Q41" s="16"/>
      <c r="R41" s="16"/>
      <c r="S41" s="16"/>
      <c r="T41" s="16"/>
      <c r="U41" s="16"/>
      <c r="V41" s="16"/>
      <c r="W41" s="16"/>
      <c r="X41" s="16"/>
      <c r="Y41" s="16"/>
      <c r="Z41" s="16"/>
    </row>
    <row r="42" spans="1:26" ht="15.75" customHeight="1" x14ac:dyDescent="0.35">
      <c r="A42" s="9"/>
      <c r="B42" s="9"/>
      <c r="C42" s="9"/>
      <c r="D42" s="9"/>
      <c r="E42" s="9"/>
      <c r="F42" s="9"/>
      <c r="G42" s="9"/>
      <c r="H42" s="16"/>
      <c r="I42" s="16"/>
      <c r="J42" s="16"/>
      <c r="K42" s="16"/>
      <c r="L42" s="16"/>
      <c r="M42" s="16"/>
      <c r="N42" s="16"/>
      <c r="O42" s="16"/>
      <c r="P42" s="16"/>
      <c r="Q42" s="16"/>
      <c r="R42" s="16"/>
      <c r="S42" s="16"/>
      <c r="T42" s="16"/>
      <c r="U42" s="16"/>
      <c r="V42" s="16"/>
      <c r="W42" s="16"/>
      <c r="X42" s="16"/>
      <c r="Y42" s="16"/>
      <c r="Z42" s="16"/>
    </row>
    <row r="43" spans="1:26" ht="15.75" customHeight="1" x14ac:dyDescent="0.35">
      <c r="A43" s="9"/>
      <c r="B43" s="9"/>
      <c r="C43" s="9"/>
      <c r="D43" s="9"/>
      <c r="E43" s="9"/>
      <c r="F43" s="9"/>
      <c r="G43" s="9"/>
      <c r="H43" s="16"/>
      <c r="I43" s="16"/>
      <c r="J43" s="16"/>
      <c r="K43" s="16"/>
      <c r="L43" s="16"/>
      <c r="M43" s="16"/>
      <c r="N43" s="16"/>
      <c r="O43" s="16"/>
      <c r="P43" s="16"/>
      <c r="Q43" s="16"/>
      <c r="R43" s="16"/>
      <c r="S43" s="16"/>
      <c r="T43" s="16"/>
      <c r="U43" s="16"/>
      <c r="V43" s="16"/>
      <c r="W43" s="16"/>
      <c r="X43" s="16"/>
      <c r="Y43" s="16"/>
      <c r="Z43" s="16"/>
    </row>
    <row r="44" spans="1:26" ht="15.75" customHeight="1" x14ac:dyDescent="0.35">
      <c r="A44" s="9"/>
      <c r="B44" s="9"/>
      <c r="C44" s="9"/>
      <c r="D44" s="9"/>
      <c r="E44" s="9"/>
      <c r="F44" s="9"/>
      <c r="G44" s="9"/>
      <c r="H44" s="16"/>
      <c r="I44" s="16"/>
      <c r="J44" s="16"/>
      <c r="K44" s="16"/>
      <c r="L44" s="16"/>
      <c r="M44" s="16"/>
      <c r="N44" s="16"/>
      <c r="O44" s="16"/>
      <c r="P44" s="16"/>
      <c r="Q44" s="16"/>
      <c r="R44" s="16"/>
      <c r="S44" s="16"/>
      <c r="T44" s="16"/>
      <c r="U44" s="16"/>
      <c r="V44" s="16"/>
      <c r="W44" s="16"/>
      <c r="X44" s="16"/>
      <c r="Y44" s="16"/>
      <c r="Z44" s="16"/>
    </row>
    <row r="45" spans="1:26" ht="15.75" customHeight="1" x14ac:dyDescent="0.35">
      <c r="A45" s="9"/>
      <c r="B45" s="9"/>
      <c r="C45" s="9"/>
      <c r="D45" s="9"/>
      <c r="E45" s="9"/>
      <c r="F45" s="9"/>
      <c r="G45" s="9"/>
      <c r="H45" s="16"/>
      <c r="I45" s="16"/>
      <c r="J45" s="16"/>
      <c r="K45" s="16"/>
      <c r="L45" s="16"/>
      <c r="M45" s="16"/>
      <c r="N45" s="16"/>
      <c r="O45" s="16"/>
      <c r="P45" s="16"/>
      <c r="Q45" s="16"/>
      <c r="R45" s="16"/>
      <c r="S45" s="16"/>
      <c r="T45" s="16"/>
      <c r="U45" s="16"/>
      <c r="V45" s="16"/>
      <c r="W45" s="16"/>
      <c r="X45" s="16"/>
      <c r="Y45" s="16"/>
      <c r="Z45" s="16"/>
    </row>
    <row r="46" spans="1:26" ht="15.75" customHeight="1" x14ac:dyDescent="0.35">
      <c r="A46" s="9"/>
      <c r="B46" s="9"/>
      <c r="C46" s="11"/>
      <c r="D46" s="9"/>
      <c r="E46" s="11"/>
      <c r="F46" s="10"/>
      <c r="G46" s="9"/>
      <c r="H46" s="16"/>
      <c r="I46" s="16"/>
      <c r="J46" s="16"/>
      <c r="K46" s="16"/>
      <c r="L46" s="16"/>
      <c r="M46" s="16"/>
      <c r="N46" s="16"/>
      <c r="O46" s="16"/>
      <c r="P46" s="16"/>
      <c r="Q46" s="16"/>
      <c r="R46" s="16"/>
      <c r="S46" s="16"/>
      <c r="T46" s="16"/>
      <c r="U46" s="16"/>
      <c r="V46" s="16"/>
      <c r="W46" s="16"/>
      <c r="X46" s="16"/>
      <c r="Y46" s="16"/>
      <c r="Z46" s="16"/>
    </row>
    <row r="47" spans="1:26" ht="15.75" customHeight="1" x14ac:dyDescent="0.35">
      <c r="A47" s="9"/>
      <c r="B47" s="9"/>
      <c r="C47" s="11"/>
      <c r="D47" s="9"/>
      <c r="E47" s="11"/>
      <c r="F47" s="9"/>
      <c r="G47" s="9"/>
      <c r="H47" s="16"/>
      <c r="I47" s="16"/>
      <c r="J47" s="16"/>
      <c r="K47" s="16"/>
      <c r="L47" s="16"/>
      <c r="M47" s="16"/>
      <c r="N47" s="16"/>
      <c r="O47" s="16"/>
      <c r="P47" s="16"/>
      <c r="Q47" s="16"/>
      <c r="R47" s="16"/>
      <c r="S47" s="16"/>
      <c r="T47" s="16"/>
      <c r="U47" s="16"/>
      <c r="V47" s="16"/>
      <c r="W47" s="16"/>
      <c r="X47" s="16"/>
      <c r="Y47" s="16"/>
      <c r="Z47" s="16"/>
    </row>
    <row r="48" spans="1:26" ht="15.75" customHeight="1"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x14ac:dyDescent="0.3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x14ac:dyDescent="0.3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x14ac:dyDescent="0.3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x14ac:dyDescent="0.3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x14ac:dyDescent="0.3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3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x14ac:dyDescent="0.3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x14ac:dyDescent="0.3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x14ac:dyDescent="0.3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x14ac:dyDescent="0.3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x14ac:dyDescent="0.3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x14ac:dyDescent="0.3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x14ac:dyDescent="0.3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x14ac:dyDescent="0.3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x14ac:dyDescent="0.3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x14ac:dyDescent="0.3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x14ac:dyDescent="0.3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x14ac:dyDescent="0.3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x14ac:dyDescent="0.3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x14ac:dyDescent="0.3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x14ac:dyDescent="0.3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x14ac:dyDescent="0.3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x14ac:dyDescent="0.3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x14ac:dyDescent="0.3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x14ac:dyDescent="0.3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x14ac:dyDescent="0.3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x14ac:dyDescent="0.3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x14ac:dyDescent="0.3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x14ac:dyDescent="0.3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x14ac:dyDescent="0.3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x14ac:dyDescent="0.3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x14ac:dyDescent="0.3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x14ac:dyDescent="0.3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x14ac:dyDescent="0.3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x14ac:dyDescent="0.3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x14ac:dyDescent="0.3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x14ac:dyDescent="0.3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x14ac:dyDescent="0.3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x14ac:dyDescent="0.3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x14ac:dyDescent="0.3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x14ac:dyDescent="0.3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x14ac:dyDescent="0.3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x14ac:dyDescent="0.3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x14ac:dyDescent="0.3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x14ac:dyDescent="0.3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3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3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3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3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3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3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3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3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3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3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3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3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3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3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3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3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3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3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3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3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3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3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3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3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3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3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3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3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3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3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3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3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3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3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3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3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3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3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3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3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3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3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3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3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3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3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3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3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3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3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3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3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3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3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3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3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3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3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3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3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3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3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3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3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3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3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3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3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3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3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3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3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3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3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3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3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3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3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3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3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3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3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3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3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3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3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3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3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3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3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3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3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3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3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3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3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3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3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3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3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3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3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3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3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3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3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3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3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3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3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3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3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3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3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3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3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3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3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3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3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3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3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3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3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3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3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3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3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3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3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3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3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3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3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3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3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3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3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3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3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3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3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3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3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3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3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3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3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3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3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3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3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3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3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3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3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3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3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3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3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3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3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3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3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3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3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3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3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3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3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3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3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3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3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3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3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3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3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3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3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3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3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3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3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3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3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3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3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3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3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3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3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3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3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3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3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3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3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x14ac:dyDescent="0.3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x14ac:dyDescent="0.3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x14ac:dyDescent="0.3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x14ac:dyDescent="0.3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x14ac:dyDescent="0.3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x14ac:dyDescent="0.3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x14ac:dyDescent="0.3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x14ac:dyDescent="0.3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x14ac:dyDescent="0.3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x14ac:dyDescent="0.3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x14ac:dyDescent="0.3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x14ac:dyDescent="0.3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x14ac:dyDescent="0.3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x14ac:dyDescent="0.3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x14ac:dyDescent="0.3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x14ac:dyDescent="0.3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x14ac:dyDescent="0.3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x14ac:dyDescent="0.3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x14ac:dyDescent="0.3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x14ac:dyDescent="0.3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x14ac:dyDescent="0.3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x14ac:dyDescent="0.3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x14ac:dyDescent="0.3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x14ac:dyDescent="0.3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x14ac:dyDescent="0.3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x14ac:dyDescent="0.3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x14ac:dyDescent="0.3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x14ac:dyDescent="0.3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x14ac:dyDescent="0.3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x14ac:dyDescent="0.3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x14ac:dyDescent="0.3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x14ac:dyDescent="0.3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x14ac:dyDescent="0.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x14ac:dyDescent="0.3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x14ac:dyDescent="0.3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x14ac:dyDescent="0.3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x14ac:dyDescent="0.3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x14ac:dyDescent="0.3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x14ac:dyDescent="0.3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x14ac:dyDescent="0.3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x14ac:dyDescent="0.3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x14ac:dyDescent="0.3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x14ac:dyDescent="0.3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x14ac:dyDescent="0.3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x14ac:dyDescent="0.3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x14ac:dyDescent="0.3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x14ac:dyDescent="0.3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x14ac:dyDescent="0.3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x14ac:dyDescent="0.3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x14ac:dyDescent="0.3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x14ac:dyDescent="0.3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x14ac:dyDescent="0.3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x14ac:dyDescent="0.3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x14ac:dyDescent="0.3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x14ac:dyDescent="0.3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x14ac:dyDescent="0.3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x14ac:dyDescent="0.3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x14ac:dyDescent="0.3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x14ac:dyDescent="0.3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x14ac:dyDescent="0.3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x14ac:dyDescent="0.3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x14ac:dyDescent="0.3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x14ac:dyDescent="0.3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x14ac:dyDescent="0.3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x14ac:dyDescent="0.3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x14ac:dyDescent="0.3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x14ac:dyDescent="0.3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x14ac:dyDescent="0.3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x14ac:dyDescent="0.3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x14ac:dyDescent="0.3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x14ac:dyDescent="0.3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x14ac:dyDescent="0.3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x14ac:dyDescent="0.3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x14ac:dyDescent="0.3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x14ac:dyDescent="0.3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x14ac:dyDescent="0.3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x14ac:dyDescent="0.3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x14ac:dyDescent="0.3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x14ac:dyDescent="0.3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x14ac:dyDescent="0.3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x14ac:dyDescent="0.3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x14ac:dyDescent="0.3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x14ac:dyDescent="0.3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x14ac:dyDescent="0.3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x14ac:dyDescent="0.3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x14ac:dyDescent="0.3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x14ac:dyDescent="0.3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x14ac:dyDescent="0.3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x14ac:dyDescent="0.3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x14ac:dyDescent="0.3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x14ac:dyDescent="0.3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x14ac:dyDescent="0.3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x14ac:dyDescent="0.3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x14ac:dyDescent="0.3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x14ac:dyDescent="0.3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x14ac:dyDescent="0.3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x14ac:dyDescent="0.3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x14ac:dyDescent="0.3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x14ac:dyDescent="0.3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x14ac:dyDescent="0.3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x14ac:dyDescent="0.3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x14ac:dyDescent="0.3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x14ac:dyDescent="0.3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x14ac:dyDescent="0.3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x14ac:dyDescent="0.3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x14ac:dyDescent="0.3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x14ac:dyDescent="0.3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x14ac:dyDescent="0.3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x14ac:dyDescent="0.3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x14ac:dyDescent="0.3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x14ac:dyDescent="0.3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x14ac:dyDescent="0.3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x14ac:dyDescent="0.3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x14ac:dyDescent="0.3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x14ac:dyDescent="0.3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x14ac:dyDescent="0.3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x14ac:dyDescent="0.3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x14ac:dyDescent="0.3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x14ac:dyDescent="0.3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x14ac:dyDescent="0.3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x14ac:dyDescent="0.3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x14ac:dyDescent="0.3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x14ac:dyDescent="0.3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x14ac:dyDescent="0.3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x14ac:dyDescent="0.3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x14ac:dyDescent="0.3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x14ac:dyDescent="0.3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x14ac:dyDescent="0.3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x14ac:dyDescent="0.3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x14ac:dyDescent="0.3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x14ac:dyDescent="0.3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x14ac:dyDescent="0.3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x14ac:dyDescent="0.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x14ac:dyDescent="0.3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x14ac:dyDescent="0.3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x14ac:dyDescent="0.3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x14ac:dyDescent="0.3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x14ac:dyDescent="0.3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x14ac:dyDescent="0.3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x14ac:dyDescent="0.3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x14ac:dyDescent="0.3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x14ac:dyDescent="0.3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x14ac:dyDescent="0.3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x14ac:dyDescent="0.3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x14ac:dyDescent="0.3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x14ac:dyDescent="0.3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x14ac:dyDescent="0.3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x14ac:dyDescent="0.3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x14ac:dyDescent="0.3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x14ac:dyDescent="0.3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x14ac:dyDescent="0.3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x14ac:dyDescent="0.3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x14ac:dyDescent="0.3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x14ac:dyDescent="0.3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x14ac:dyDescent="0.3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x14ac:dyDescent="0.3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x14ac:dyDescent="0.3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x14ac:dyDescent="0.3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x14ac:dyDescent="0.3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x14ac:dyDescent="0.3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x14ac:dyDescent="0.3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x14ac:dyDescent="0.3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x14ac:dyDescent="0.3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x14ac:dyDescent="0.3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x14ac:dyDescent="0.3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x14ac:dyDescent="0.3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x14ac:dyDescent="0.3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x14ac:dyDescent="0.3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x14ac:dyDescent="0.3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x14ac:dyDescent="0.3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x14ac:dyDescent="0.3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x14ac:dyDescent="0.3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x14ac:dyDescent="0.3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x14ac:dyDescent="0.3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x14ac:dyDescent="0.3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x14ac:dyDescent="0.3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x14ac:dyDescent="0.3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x14ac:dyDescent="0.3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x14ac:dyDescent="0.3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x14ac:dyDescent="0.3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x14ac:dyDescent="0.3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x14ac:dyDescent="0.3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x14ac:dyDescent="0.3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x14ac:dyDescent="0.3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x14ac:dyDescent="0.3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x14ac:dyDescent="0.3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x14ac:dyDescent="0.3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x14ac:dyDescent="0.3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x14ac:dyDescent="0.3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x14ac:dyDescent="0.3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x14ac:dyDescent="0.3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x14ac:dyDescent="0.3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x14ac:dyDescent="0.3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x14ac:dyDescent="0.3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x14ac:dyDescent="0.3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x14ac:dyDescent="0.3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x14ac:dyDescent="0.3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x14ac:dyDescent="0.3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x14ac:dyDescent="0.3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x14ac:dyDescent="0.3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x14ac:dyDescent="0.3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x14ac:dyDescent="0.3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x14ac:dyDescent="0.3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x14ac:dyDescent="0.3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x14ac:dyDescent="0.3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x14ac:dyDescent="0.3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x14ac:dyDescent="0.3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x14ac:dyDescent="0.3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x14ac:dyDescent="0.3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x14ac:dyDescent="0.3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x14ac:dyDescent="0.3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x14ac:dyDescent="0.3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x14ac:dyDescent="0.3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x14ac:dyDescent="0.3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x14ac:dyDescent="0.3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x14ac:dyDescent="0.3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x14ac:dyDescent="0.3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x14ac:dyDescent="0.3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x14ac:dyDescent="0.3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x14ac:dyDescent="0.3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x14ac:dyDescent="0.3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x14ac:dyDescent="0.3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x14ac:dyDescent="0.3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x14ac:dyDescent="0.3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x14ac:dyDescent="0.3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x14ac:dyDescent="0.3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x14ac:dyDescent="0.3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x14ac:dyDescent="0.3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x14ac:dyDescent="0.3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x14ac:dyDescent="0.3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x14ac:dyDescent="0.3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x14ac:dyDescent="0.3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x14ac:dyDescent="0.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x14ac:dyDescent="0.3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x14ac:dyDescent="0.3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x14ac:dyDescent="0.3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x14ac:dyDescent="0.3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x14ac:dyDescent="0.3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x14ac:dyDescent="0.3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x14ac:dyDescent="0.3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x14ac:dyDescent="0.3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x14ac:dyDescent="0.3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x14ac:dyDescent="0.3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x14ac:dyDescent="0.3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x14ac:dyDescent="0.3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x14ac:dyDescent="0.3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x14ac:dyDescent="0.3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x14ac:dyDescent="0.3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x14ac:dyDescent="0.3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x14ac:dyDescent="0.3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x14ac:dyDescent="0.3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x14ac:dyDescent="0.3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x14ac:dyDescent="0.3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x14ac:dyDescent="0.3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x14ac:dyDescent="0.3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x14ac:dyDescent="0.3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x14ac:dyDescent="0.3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x14ac:dyDescent="0.3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x14ac:dyDescent="0.3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x14ac:dyDescent="0.3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x14ac:dyDescent="0.3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x14ac:dyDescent="0.3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x14ac:dyDescent="0.3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x14ac:dyDescent="0.3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x14ac:dyDescent="0.3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x14ac:dyDescent="0.3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x14ac:dyDescent="0.3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x14ac:dyDescent="0.3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x14ac:dyDescent="0.3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x14ac:dyDescent="0.3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x14ac:dyDescent="0.3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x14ac:dyDescent="0.3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x14ac:dyDescent="0.3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x14ac:dyDescent="0.3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x14ac:dyDescent="0.3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x14ac:dyDescent="0.3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x14ac:dyDescent="0.3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x14ac:dyDescent="0.3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x14ac:dyDescent="0.3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x14ac:dyDescent="0.3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x14ac:dyDescent="0.3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x14ac:dyDescent="0.3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x14ac:dyDescent="0.3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x14ac:dyDescent="0.3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x14ac:dyDescent="0.3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x14ac:dyDescent="0.3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x14ac:dyDescent="0.3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x14ac:dyDescent="0.3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x14ac:dyDescent="0.3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x14ac:dyDescent="0.3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x14ac:dyDescent="0.3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x14ac:dyDescent="0.3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x14ac:dyDescent="0.3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x14ac:dyDescent="0.3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x14ac:dyDescent="0.3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x14ac:dyDescent="0.3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x14ac:dyDescent="0.3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x14ac:dyDescent="0.3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x14ac:dyDescent="0.3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x14ac:dyDescent="0.3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x14ac:dyDescent="0.3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x14ac:dyDescent="0.3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x14ac:dyDescent="0.3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x14ac:dyDescent="0.3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x14ac:dyDescent="0.3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x14ac:dyDescent="0.3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x14ac:dyDescent="0.3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x14ac:dyDescent="0.3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x14ac:dyDescent="0.3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x14ac:dyDescent="0.3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x14ac:dyDescent="0.3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x14ac:dyDescent="0.3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x14ac:dyDescent="0.3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x14ac:dyDescent="0.3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x14ac:dyDescent="0.3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x14ac:dyDescent="0.3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x14ac:dyDescent="0.3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x14ac:dyDescent="0.3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x14ac:dyDescent="0.3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x14ac:dyDescent="0.3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x14ac:dyDescent="0.3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x14ac:dyDescent="0.3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x14ac:dyDescent="0.3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x14ac:dyDescent="0.3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x14ac:dyDescent="0.3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x14ac:dyDescent="0.3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x14ac:dyDescent="0.3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x14ac:dyDescent="0.3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x14ac:dyDescent="0.3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x14ac:dyDescent="0.3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x14ac:dyDescent="0.3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x14ac:dyDescent="0.3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x14ac:dyDescent="0.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x14ac:dyDescent="0.3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x14ac:dyDescent="0.3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x14ac:dyDescent="0.3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x14ac:dyDescent="0.3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x14ac:dyDescent="0.3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x14ac:dyDescent="0.3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x14ac:dyDescent="0.3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x14ac:dyDescent="0.3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x14ac:dyDescent="0.3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x14ac:dyDescent="0.3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x14ac:dyDescent="0.3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x14ac:dyDescent="0.3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x14ac:dyDescent="0.3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x14ac:dyDescent="0.3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x14ac:dyDescent="0.3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x14ac:dyDescent="0.3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x14ac:dyDescent="0.3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x14ac:dyDescent="0.3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x14ac:dyDescent="0.3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x14ac:dyDescent="0.3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x14ac:dyDescent="0.3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x14ac:dyDescent="0.3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x14ac:dyDescent="0.3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x14ac:dyDescent="0.3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x14ac:dyDescent="0.3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x14ac:dyDescent="0.3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x14ac:dyDescent="0.3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x14ac:dyDescent="0.3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x14ac:dyDescent="0.3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x14ac:dyDescent="0.3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x14ac:dyDescent="0.3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x14ac:dyDescent="0.3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x14ac:dyDescent="0.3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x14ac:dyDescent="0.3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x14ac:dyDescent="0.3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x14ac:dyDescent="0.3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x14ac:dyDescent="0.3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x14ac:dyDescent="0.3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x14ac:dyDescent="0.3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x14ac:dyDescent="0.3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x14ac:dyDescent="0.3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x14ac:dyDescent="0.3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x14ac:dyDescent="0.3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x14ac:dyDescent="0.3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x14ac:dyDescent="0.3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x14ac:dyDescent="0.3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x14ac:dyDescent="0.3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x14ac:dyDescent="0.3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x14ac:dyDescent="0.3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x14ac:dyDescent="0.3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x14ac:dyDescent="0.3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x14ac:dyDescent="0.3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x14ac:dyDescent="0.3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x14ac:dyDescent="0.3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x14ac:dyDescent="0.3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x14ac:dyDescent="0.3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x14ac:dyDescent="0.3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x14ac:dyDescent="0.3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x14ac:dyDescent="0.3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x14ac:dyDescent="0.3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x14ac:dyDescent="0.3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x14ac:dyDescent="0.3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x14ac:dyDescent="0.3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x14ac:dyDescent="0.3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x14ac:dyDescent="0.3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x14ac:dyDescent="0.3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x14ac:dyDescent="0.3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x14ac:dyDescent="0.3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x14ac:dyDescent="0.3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x14ac:dyDescent="0.3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x14ac:dyDescent="0.3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x14ac:dyDescent="0.3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x14ac:dyDescent="0.3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x14ac:dyDescent="0.3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x14ac:dyDescent="0.3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x14ac:dyDescent="0.3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x14ac:dyDescent="0.3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x14ac:dyDescent="0.3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x14ac:dyDescent="0.3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x14ac:dyDescent="0.3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x14ac:dyDescent="0.3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x14ac:dyDescent="0.3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x14ac:dyDescent="0.3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x14ac:dyDescent="0.3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x14ac:dyDescent="0.3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x14ac:dyDescent="0.3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x14ac:dyDescent="0.3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x14ac:dyDescent="0.3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x14ac:dyDescent="0.3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x14ac:dyDescent="0.3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x14ac:dyDescent="0.3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x14ac:dyDescent="0.3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x14ac:dyDescent="0.3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x14ac:dyDescent="0.3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x14ac:dyDescent="0.3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x14ac:dyDescent="0.3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x14ac:dyDescent="0.3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x14ac:dyDescent="0.3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x14ac:dyDescent="0.3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x14ac:dyDescent="0.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x14ac:dyDescent="0.3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x14ac:dyDescent="0.3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x14ac:dyDescent="0.3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x14ac:dyDescent="0.3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x14ac:dyDescent="0.3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x14ac:dyDescent="0.3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x14ac:dyDescent="0.3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x14ac:dyDescent="0.3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x14ac:dyDescent="0.3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x14ac:dyDescent="0.3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x14ac:dyDescent="0.3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x14ac:dyDescent="0.3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x14ac:dyDescent="0.3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x14ac:dyDescent="0.3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x14ac:dyDescent="0.3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x14ac:dyDescent="0.3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x14ac:dyDescent="0.3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x14ac:dyDescent="0.3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x14ac:dyDescent="0.3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x14ac:dyDescent="0.3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x14ac:dyDescent="0.3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x14ac:dyDescent="0.3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x14ac:dyDescent="0.3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x14ac:dyDescent="0.3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x14ac:dyDescent="0.3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x14ac:dyDescent="0.3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x14ac:dyDescent="0.3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x14ac:dyDescent="0.3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x14ac:dyDescent="0.3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x14ac:dyDescent="0.3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x14ac:dyDescent="0.3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x14ac:dyDescent="0.3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x14ac:dyDescent="0.3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x14ac:dyDescent="0.3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x14ac:dyDescent="0.3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x14ac:dyDescent="0.3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x14ac:dyDescent="0.3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x14ac:dyDescent="0.3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x14ac:dyDescent="0.3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x14ac:dyDescent="0.3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x14ac:dyDescent="0.3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x14ac:dyDescent="0.3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x14ac:dyDescent="0.3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x14ac:dyDescent="0.3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x14ac:dyDescent="0.3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x14ac:dyDescent="0.3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x14ac:dyDescent="0.3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x14ac:dyDescent="0.3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x14ac:dyDescent="0.3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x14ac:dyDescent="0.3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x14ac:dyDescent="0.3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x14ac:dyDescent="0.3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x14ac:dyDescent="0.3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x14ac:dyDescent="0.3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x14ac:dyDescent="0.3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x14ac:dyDescent="0.3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x14ac:dyDescent="0.3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x14ac:dyDescent="0.3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x14ac:dyDescent="0.3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x14ac:dyDescent="0.3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x14ac:dyDescent="0.3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x14ac:dyDescent="0.3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x14ac:dyDescent="0.3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x14ac:dyDescent="0.3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x14ac:dyDescent="0.3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x14ac:dyDescent="0.3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x14ac:dyDescent="0.3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x14ac:dyDescent="0.3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x14ac:dyDescent="0.3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x14ac:dyDescent="0.3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x14ac:dyDescent="0.3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x14ac:dyDescent="0.3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x14ac:dyDescent="0.3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x14ac:dyDescent="0.3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x14ac:dyDescent="0.3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x14ac:dyDescent="0.3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x14ac:dyDescent="0.3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x14ac:dyDescent="0.3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x14ac:dyDescent="0.3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x14ac:dyDescent="0.3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x14ac:dyDescent="0.3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x14ac:dyDescent="0.3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x14ac:dyDescent="0.3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x14ac:dyDescent="0.3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x14ac:dyDescent="0.3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x14ac:dyDescent="0.3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x14ac:dyDescent="0.3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x14ac:dyDescent="0.3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x14ac:dyDescent="0.3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x14ac:dyDescent="0.3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x14ac:dyDescent="0.3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x14ac:dyDescent="0.3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x14ac:dyDescent="0.3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x14ac:dyDescent="0.3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x14ac:dyDescent="0.3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x14ac:dyDescent="0.3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x14ac:dyDescent="0.3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x14ac:dyDescent="0.3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x14ac:dyDescent="0.3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x14ac:dyDescent="0.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x14ac:dyDescent="0.3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x14ac:dyDescent="0.3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x14ac:dyDescent="0.3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x14ac:dyDescent="0.3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x14ac:dyDescent="0.3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x14ac:dyDescent="0.3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x14ac:dyDescent="0.3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x14ac:dyDescent="0.3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x14ac:dyDescent="0.3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x14ac:dyDescent="0.3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x14ac:dyDescent="0.3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x14ac:dyDescent="0.3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x14ac:dyDescent="0.3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x14ac:dyDescent="0.3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x14ac:dyDescent="0.3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x14ac:dyDescent="0.3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x14ac:dyDescent="0.3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x14ac:dyDescent="0.3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x14ac:dyDescent="0.3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x14ac:dyDescent="0.3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x14ac:dyDescent="0.3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x14ac:dyDescent="0.3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x14ac:dyDescent="0.3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x14ac:dyDescent="0.3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x14ac:dyDescent="0.3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x14ac:dyDescent="0.3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x14ac:dyDescent="0.3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x14ac:dyDescent="0.3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x14ac:dyDescent="0.3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x14ac:dyDescent="0.3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x14ac:dyDescent="0.3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x14ac:dyDescent="0.3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x14ac:dyDescent="0.3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x14ac:dyDescent="0.3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x14ac:dyDescent="0.3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x14ac:dyDescent="0.3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x14ac:dyDescent="0.3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x14ac:dyDescent="0.3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x14ac:dyDescent="0.3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x14ac:dyDescent="0.3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x14ac:dyDescent="0.3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x14ac:dyDescent="0.3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x14ac:dyDescent="0.3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x14ac:dyDescent="0.3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x14ac:dyDescent="0.3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x14ac:dyDescent="0.3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x14ac:dyDescent="0.3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x14ac:dyDescent="0.3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x14ac:dyDescent="0.3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x14ac:dyDescent="0.3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x14ac:dyDescent="0.3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x14ac:dyDescent="0.3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x14ac:dyDescent="0.3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x14ac:dyDescent="0.3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x14ac:dyDescent="0.3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x14ac:dyDescent="0.3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x14ac:dyDescent="0.3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x14ac:dyDescent="0.3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x14ac:dyDescent="0.3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x14ac:dyDescent="0.3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x14ac:dyDescent="0.3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x14ac:dyDescent="0.3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x14ac:dyDescent="0.3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x14ac:dyDescent="0.3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x14ac:dyDescent="0.3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x14ac:dyDescent="0.3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x14ac:dyDescent="0.3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x14ac:dyDescent="0.3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x14ac:dyDescent="0.3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x14ac:dyDescent="0.3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x14ac:dyDescent="0.3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x14ac:dyDescent="0.3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x14ac:dyDescent="0.3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x14ac:dyDescent="0.3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x14ac:dyDescent="0.3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x14ac:dyDescent="0.3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x14ac:dyDescent="0.3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x14ac:dyDescent="0.3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x14ac:dyDescent="0.3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x14ac:dyDescent="0.3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x14ac:dyDescent="0.3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x14ac:dyDescent="0.3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x14ac:dyDescent="0.3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x14ac:dyDescent="0.3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x14ac:dyDescent="0.3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x14ac:dyDescent="0.3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x14ac:dyDescent="0.3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x14ac:dyDescent="0.3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x14ac:dyDescent="0.3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x14ac:dyDescent="0.3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x14ac:dyDescent="0.3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x14ac:dyDescent="0.3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x14ac:dyDescent="0.3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x14ac:dyDescent="0.3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x14ac:dyDescent="0.3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x14ac:dyDescent="0.3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x14ac:dyDescent="0.3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x14ac:dyDescent="0.3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x14ac:dyDescent="0.3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x14ac:dyDescent="0.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x14ac:dyDescent="0.3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x14ac:dyDescent="0.3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x14ac:dyDescent="0.3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x14ac:dyDescent="0.3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x14ac:dyDescent="0.3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x14ac:dyDescent="0.3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x14ac:dyDescent="0.3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x14ac:dyDescent="0.3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x14ac:dyDescent="0.3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x14ac:dyDescent="0.3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x14ac:dyDescent="0.3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x14ac:dyDescent="0.3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x14ac:dyDescent="0.3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x14ac:dyDescent="0.3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x14ac:dyDescent="0.3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x14ac:dyDescent="0.3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x14ac:dyDescent="0.3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x14ac:dyDescent="0.3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x14ac:dyDescent="0.3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x14ac:dyDescent="0.3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x14ac:dyDescent="0.3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x14ac:dyDescent="0.3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x14ac:dyDescent="0.3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x14ac:dyDescent="0.3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x14ac:dyDescent="0.3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x14ac:dyDescent="0.3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x14ac:dyDescent="0.3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x14ac:dyDescent="0.3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x14ac:dyDescent="0.3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x14ac:dyDescent="0.3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x14ac:dyDescent="0.3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x14ac:dyDescent="0.3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x14ac:dyDescent="0.3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x14ac:dyDescent="0.3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x14ac:dyDescent="0.3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x14ac:dyDescent="0.3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x14ac:dyDescent="0.3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x14ac:dyDescent="0.3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x14ac:dyDescent="0.3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x14ac:dyDescent="0.3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x14ac:dyDescent="0.3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x14ac:dyDescent="0.3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x14ac:dyDescent="0.3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x14ac:dyDescent="0.3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x14ac:dyDescent="0.3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x14ac:dyDescent="0.3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x14ac:dyDescent="0.3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x14ac:dyDescent="0.3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x14ac:dyDescent="0.3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x14ac:dyDescent="0.3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x14ac:dyDescent="0.3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x14ac:dyDescent="0.3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x14ac:dyDescent="0.3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x14ac:dyDescent="0.3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x14ac:dyDescent="0.3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x14ac:dyDescent="0.3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x14ac:dyDescent="0.3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x14ac:dyDescent="0.3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x14ac:dyDescent="0.3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x14ac:dyDescent="0.3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x14ac:dyDescent="0.3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x14ac:dyDescent="0.3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8"/>
  <sheetViews>
    <sheetView topLeftCell="A12" workbookViewId="0">
      <selection activeCell="C28" sqref="C28"/>
    </sheetView>
  </sheetViews>
  <sheetFormatPr defaultColWidth="14.453125" defaultRowHeight="14.5" x14ac:dyDescent="0.35"/>
  <cols>
    <col min="1" max="1" width="15.1796875" style="2" customWidth="1"/>
    <col min="2" max="2" width="18.81640625" style="2" customWidth="1"/>
    <col min="3" max="3" width="87.81640625" style="2" customWidth="1"/>
    <col min="4" max="4" width="82.54296875" style="2" customWidth="1"/>
    <col min="5" max="5" width="18.453125" style="2" customWidth="1"/>
    <col min="6" max="6" width="8.81640625" style="2" customWidth="1"/>
    <col min="7" max="7" width="13" style="2" customWidth="1"/>
    <col min="8" max="24" width="8.81640625" style="2" customWidth="1"/>
    <col min="25" max="16384" width="14.453125" style="2"/>
  </cols>
  <sheetData>
    <row r="1" spans="1:24" ht="43.5" x14ac:dyDescent="0.35">
      <c r="A1" s="12" t="s">
        <v>54</v>
      </c>
      <c r="B1" s="12" t="s">
        <v>55</v>
      </c>
      <c r="C1" s="13" t="s">
        <v>58</v>
      </c>
      <c r="D1" s="13" t="s">
        <v>59</v>
      </c>
      <c r="E1" s="12" t="s">
        <v>41</v>
      </c>
      <c r="F1" s="13" t="s">
        <v>43</v>
      </c>
      <c r="G1" s="13" t="s">
        <v>44</v>
      </c>
      <c r="H1" s="12" t="s">
        <v>45</v>
      </c>
      <c r="I1" s="14" t="s">
        <v>46</v>
      </c>
      <c r="J1" s="12" t="s">
        <v>47</v>
      </c>
      <c r="K1" s="12" t="s">
        <v>48</v>
      </c>
      <c r="L1" s="12" t="s">
        <v>49</v>
      </c>
      <c r="M1" s="12" t="s">
        <v>50</v>
      </c>
      <c r="N1" s="12" t="s">
        <v>51</v>
      </c>
      <c r="O1" s="13" t="s">
        <v>52</v>
      </c>
      <c r="P1" s="12" t="s">
        <v>53</v>
      </c>
      <c r="Q1" s="48"/>
      <c r="R1" s="48"/>
      <c r="S1" s="48"/>
      <c r="T1" s="48"/>
      <c r="U1" s="48"/>
      <c r="V1" s="48"/>
      <c r="W1" s="48"/>
      <c r="X1" s="48"/>
    </row>
    <row r="2" spans="1:24" x14ac:dyDescent="0.35">
      <c r="A2" s="9" t="s">
        <v>239</v>
      </c>
      <c r="B2" s="9"/>
      <c r="C2" s="9" t="s">
        <v>240</v>
      </c>
      <c r="D2" s="9" t="s">
        <v>241</v>
      </c>
      <c r="E2" s="9" t="s">
        <v>242</v>
      </c>
      <c r="F2" s="9"/>
      <c r="G2" s="9"/>
      <c r="H2" s="9"/>
      <c r="I2" s="9"/>
      <c r="J2" s="9"/>
      <c r="K2" s="9"/>
      <c r="L2" s="9"/>
      <c r="M2" s="9"/>
      <c r="N2" s="9"/>
      <c r="O2" s="9"/>
      <c r="P2" s="9"/>
    </row>
    <row r="3" spans="1:24" x14ac:dyDescent="0.35">
      <c r="A3" s="49" t="s">
        <v>243</v>
      </c>
      <c r="B3" s="9"/>
      <c r="C3" s="9" t="s">
        <v>244</v>
      </c>
      <c r="D3" s="9" t="s">
        <v>245</v>
      </c>
      <c r="E3" s="9" t="s">
        <v>242</v>
      </c>
      <c r="F3" s="9"/>
      <c r="G3" s="9"/>
      <c r="H3" s="9"/>
      <c r="I3" s="9"/>
      <c r="J3" s="9"/>
      <c r="K3" s="9"/>
      <c r="L3" s="9"/>
      <c r="M3" s="9"/>
      <c r="N3" s="9"/>
      <c r="O3" s="9"/>
      <c r="P3" s="9"/>
      <c r="Q3" s="48"/>
      <c r="R3" s="48"/>
      <c r="S3" s="48"/>
      <c r="T3" s="48"/>
      <c r="U3" s="48"/>
      <c r="V3" s="48"/>
      <c r="W3" s="48"/>
      <c r="X3" s="48"/>
    </row>
    <row r="4" spans="1:24" x14ac:dyDescent="0.35">
      <c r="A4" s="9" t="s">
        <v>246</v>
      </c>
      <c r="B4" s="9"/>
      <c r="C4" s="9" t="s">
        <v>247</v>
      </c>
      <c r="D4" s="9" t="s">
        <v>248</v>
      </c>
      <c r="E4" s="9" t="s">
        <v>242</v>
      </c>
      <c r="F4" s="9"/>
      <c r="G4" s="9"/>
      <c r="H4" s="9"/>
      <c r="I4" s="9"/>
      <c r="J4" s="9"/>
      <c r="K4" s="9"/>
      <c r="L4" s="9"/>
      <c r="M4" s="9"/>
      <c r="N4" s="9"/>
      <c r="O4" s="9"/>
      <c r="P4" s="9"/>
      <c r="Q4" s="48"/>
      <c r="R4" s="48"/>
      <c r="S4" s="48"/>
      <c r="T4" s="48"/>
      <c r="U4" s="48"/>
      <c r="V4" s="48"/>
      <c r="W4" s="48"/>
      <c r="X4" s="48"/>
    </row>
    <row r="5" spans="1:24" x14ac:dyDescent="0.35">
      <c r="A5" s="49" t="s">
        <v>249</v>
      </c>
      <c r="B5" s="9"/>
      <c r="C5" s="9" t="s">
        <v>250</v>
      </c>
      <c r="D5" s="9" t="s">
        <v>251</v>
      </c>
      <c r="E5" s="9" t="s">
        <v>242</v>
      </c>
      <c r="F5" s="9"/>
      <c r="G5" s="9"/>
      <c r="H5" s="9"/>
      <c r="I5" s="9"/>
      <c r="J5" s="9"/>
      <c r="K5" s="9"/>
      <c r="L5" s="9"/>
      <c r="M5" s="9"/>
      <c r="N5" s="9"/>
      <c r="O5" s="9"/>
      <c r="P5" s="9"/>
      <c r="Q5" s="48"/>
      <c r="R5" s="48"/>
      <c r="S5" s="48"/>
      <c r="T5" s="48"/>
      <c r="U5" s="48"/>
      <c r="V5" s="48"/>
      <c r="W5" s="48"/>
      <c r="X5" s="48"/>
    </row>
    <row r="6" spans="1:24" x14ac:dyDescent="0.35">
      <c r="A6" s="9" t="s">
        <v>252</v>
      </c>
      <c r="B6" s="9"/>
      <c r="C6" s="9" t="s">
        <v>253</v>
      </c>
      <c r="D6" s="9" t="s">
        <v>254</v>
      </c>
      <c r="E6" s="9" t="s">
        <v>242</v>
      </c>
      <c r="F6" s="9"/>
      <c r="G6" s="9"/>
      <c r="H6" s="9"/>
      <c r="I6" s="9"/>
      <c r="J6" s="9"/>
      <c r="K6" s="9"/>
      <c r="L6" s="9"/>
      <c r="M6" s="9"/>
      <c r="N6" s="9"/>
      <c r="O6" s="9"/>
      <c r="P6" s="9"/>
      <c r="Q6" s="48"/>
      <c r="R6" s="48"/>
      <c r="S6" s="48"/>
      <c r="T6" s="48"/>
      <c r="U6" s="48"/>
      <c r="V6" s="48"/>
      <c r="W6" s="48"/>
      <c r="X6" s="48"/>
    </row>
    <row r="7" spans="1:24" x14ac:dyDescent="0.35">
      <c r="A7" s="49" t="s">
        <v>255</v>
      </c>
      <c r="B7" s="9"/>
      <c r="C7" s="9" t="s">
        <v>256</v>
      </c>
      <c r="D7" s="9" t="s">
        <v>257</v>
      </c>
      <c r="E7" s="9" t="s">
        <v>242</v>
      </c>
      <c r="F7" s="9"/>
      <c r="G7" s="9"/>
      <c r="H7" s="9"/>
      <c r="I7" s="9"/>
      <c r="J7" s="9"/>
      <c r="K7" s="9"/>
      <c r="L7" s="9"/>
      <c r="M7" s="9"/>
      <c r="N7" s="9"/>
      <c r="O7" s="9"/>
      <c r="P7" s="9"/>
      <c r="Q7" s="48"/>
      <c r="R7" s="48"/>
      <c r="S7" s="48"/>
      <c r="T7" s="48"/>
      <c r="U7" s="48"/>
      <c r="V7" s="48"/>
      <c r="W7" s="48"/>
      <c r="X7" s="48"/>
    </row>
    <row r="8" spans="1:24" x14ac:dyDescent="0.35">
      <c r="A8" s="9" t="s">
        <v>258</v>
      </c>
      <c r="B8" s="9"/>
      <c r="C8" s="9" t="s">
        <v>259</v>
      </c>
      <c r="D8" s="9" t="s">
        <v>260</v>
      </c>
      <c r="E8" s="9" t="s">
        <v>242</v>
      </c>
      <c r="F8" s="9"/>
      <c r="G8" s="9"/>
      <c r="H8" s="9"/>
      <c r="I8" s="9"/>
      <c r="J8" s="9"/>
      <c r="K8" s="9"/>
      <c r="L8" s="9"/>
      <c r="M8" s="9"/>
      <c r="N8" s="9"/>
      <c r="O8" s="9"/>
      <c r="P8" s="9"/>
      <c r="Q8" s="48"/>
      <c r="R8" s="48"/>
      <c r="S8" s="48"/>
      <c r="T8" s="48"/>
      <c r="U8" s="48"/>
      <c r="V8" s="48"/>
      <c r="W8" s="48"/>
      <c r="X8" s="48"/>
    </row>
    <row r="9" spans="1:24" x14ac:dyDescent="0.35">
      <c r="A9" s="49" t="s">
        <v>261</v>
      </c>
      <c r="B9" s="9"/>
      <c r="C9" s="9" t="s">
        <v>262</v>
      </c>
      <c r="D9" s="9" t="s">
        <v>263</v>
      </c>
      <c r="E9" s="9" t="s">
        <v>242</v>
      </c>
      <c r="F9" s="9"/>
      <c r="G9" s="9"/>
      <c r="H9" s="9"/>
      <c r="I9" s="9"/>
      <c r="J9" s="9"/>
      <c r="K9" s="9"/>
      <c r="L9" s="9"/>
      <c r="M9" s="9"/>
      <c r="N9" s="9"/>
      <c r="O9" s="9"/>
      <c r="P9" s="9"/>
      <c r="Q9" s="48"/>
      <c r="R9" s="48"/>
      <c r="S9" s="48"/>
      <c r="T9" s="48"/>
      <c r="U9" s="48"/>
      <c r="V9" s="48"/>
      <c r="W9" s="48"/>
      <c r="X9" s="48"/>
    </row>
    <row r="10" spans="1:24" x14ac:dyDescent="0.35">
      <c r="A10" s="9" t="s">
        <v>264</v>
      </c>
      <c r="B10" s="9"/>
      <c r="C10" s="9" t="s">
        <v>265</v>
      </c>
      <c r="D10" s="9" t="s">
        <v>413</v>
      </c>
      <c r="E10" s="9" t="s">
        <v>242</v>
      </c>
      <c r="F10" s="9"/>
      <c r="G10" s="9"/>
      <c r="H10" s="9"/>
      <c r="I10" s="9"/>
      <c r="J10" s="9"/>
      <c r="K10" s="9"/>
      <c r="L10" s="9"/>
      <c r="M10" s="9"/>
      <c r="N10" s="9"/>
      <c r="O10" s="9"/>
      <c r="P10" s="9"/>
    </row>
    <row r="11" spans="1:24" x14ac:dyDescent="0.35">
      <c r="A11" s="49" t="s">
        <v>266</v>
      </c>
      <c r="B11" s="9"/>
      <c r="C11" s="9" t="s">
        <v>267</v>
      </c>
      <c r="D11" s="9" t="s">
        <v>268</v>
      </c>
      <c r="E11" s="9" t="s">
        <v>242</v>
      </c>
      <c r="F11" s="9"/>
      <c r="G11" s="9"/>
      <c r="H11" s="9"/>
      <c r="I11" s="9"/>
      <c r="J11" s="9"/>
      <c r="K11" s="9"/>
      <c r="L11" s="9"/>
      <c r="M11" s="9"/>
      <c r="N11" s="9"/>
      <c r="O11" s="9"/>
      <c r="P11" s="9"/>
    </row>
    <row r="12" spans="1:24" x14ac:dyDescent="0.35">
      <c r="A12" s="9" t="s">
        <v>269</v>
      </c>
      <c r="B12" s="9"/>
      <c r="C12" s="9" t="s">
        <v>270</v>
      </c>
      <c r="D12" s="9" t="s">
        <v>271</v>
      </c>
      <c r="E12" s="9" t="s">
        <v>242</v>
      </c>
      <c r="F12" s="9"/>
      <c r="G12" s="9"/>
      <c r="H12" s="9"/>
      <c r="I12" s="9"/>
      <c r="J12" s="9"/>
      <c r="K12" s="9"/>
      <c r="L12" s="9"/>
      <c r="M12" s="9"/>
      <c r="N12" s="9"/>
      <c r="O12" s="9"/>
      <c r="P12" s="9"/>
    </row>
    <row r="13" spans="1:24" x14ac:dyDescent="0.35">
      <c r="A13" s="49" t="s">
        <v>272</v>
      </c>
      <c r="B13" s="9"/>
      <c r="C13" s="9" t="s">
        <v>273</v>
      </c>
      <c r="D13" s="9" t="s">
        <v>274</v>
      </c>
      <c r="E13" s="9" t="s">
        <v>242</v>
      </c>
      <c r="F13" s="9"/>
      <c r="G13" s="9"/>
      <c r="H13" s="9"/>
      <c r="I13" s="9"/>
      <c r="J13" s="9"/>
      <c r="K13" s="9"/>
      <c r="L13" s="9"/>
      <c r="M13" s="9"/>
      <c r="N13" s="9"/>
      <c r="O13" s="9"/>
      <c r="P13" s="9"/>
      <c r="Q13" s="48"/>
      <c r="R13" s="48"/>
      <c r="S13" s="48"/>
      <c r="T13" s="48"/>
      <c r="U13" s="48"/>
      <c r="V13" s="48"/>
      <c r="W13" s="48"/>
      <c r="X13" s="48"/>
    </row>
    <row r="14" spans="1:24" x14ac:dyDescent="0.35">
      <c r="A14" s="9" t="s">
        <v>275</v>
      </c>
      <c r="B14" s="9"/>
      <c r="C14" s="9" t="s">
        <v>276</v>
      </c>
      <c r="D14" s="9" t="s">
        <v>277</v>
      </c>
      <c r="E14" s="9" t="s">
        <v>242</v>
      </c>
      <c r="F14" s="9"/>
      <c r="G14" s="9"/>
      <c r="H14" s="9"/>
      <c r="I14" s="9"/>
      <c r="J14" s="9"/>
      <c r="K14" s="9"/>
      <c r="L14" s="9"/>
      <c r="M14" s="9"/>
      <c r="N14" s="9"/>
      <c r="O14" s="9"/>
      <c r="P14" s="9"/>
      <c r="Q14" s="48"/>
      <c r="R14" s="48"/>
      <c r="S14" s="48"/>
      <c r="T14" s="48"/>
      <c r="U14" s="48"/>
      <c r="V14" s="48"/>
      <c r="W14" s="48"/>
      <c r="X14" s="48"/>
    </row>
    <row r="15" spans="1:24" x14ac:dyDescent="0.35">
      <c r="A15" s="49" t="s">
        <v>278</v>
      </c>
      <c r="B15" s="9"/>
      <c r="C15" s="9" t="s">
        <v>279</v>
      </c>
      <c r="D15" s="9" t="s">
        <v>280</v>
      </c>
      <c r="E15" s="9" t="s">
        <v>242</v>
      </c>
      <c r="F15" s="9"/>
      <c r="G15" s="9"/>
      <c r="H15" s="9"/>
      <c r="I15" s="9"/>
      <c r="J15" s="9"/>
      <c r="K15" s="9"/>
      <c r="L15" s="9"/>
      <c r="M15" s="9"/>
      <c r="N15" s="9"/>
      <c r="O15" s="9"/>
      <c r="P15" s="9"/>
      <c r="Q15" s="48"/>
      <c r="R15" s="48"/>
      <c r="S15" s="48"/>
      <c r="T15" s="48"/>
      <c r="U15" s="48"/>
      <c r="V15" s="48"/>
      <c r="W15" s="48"/>
      <c r="X15" s="48"/>
    </row>
    <row r="16" spans="1:24" x14ac:dyDescent="0.35">
      <c r="A16" s="9" t="s">
        <v>281</v>
      </c>
      <c r="B16" s="9"/>
      <c r="C16" s="9" t="s">
        <v>282</v>
      </c>
      <c r="D16" s="9" t="s">
        <v>283</v>
      </c>
      <c r="E16" s="9" t="s">
        <v>242</v>
      </c>
      <c r="F16" s="9"/>
      <c r="G16" s="9"/>
      <c r="H16" s="9"/>
      <c r="I16" s="9"/>
      <c r="J16" s="9"/>
      <c r="K16" s="9"/>
      <c r="L16" s="9"/>
      <c r="M16" s="9"/>
      <c r="N16" s="9"/>
      <c r="O16" s="9"/>
      <c r="P16" s="9"/>
      <c r="Q16" s="48"/>
      <c r="R16" s="48"/>
      <c r="S16" s="48"/>
      <c r="T16" s="48"/>
      <c r="U16" s="48"/>
      <c r="V16" s="48"/>
      <c r="W16" s="48"/>
      <c r="X16" s="48"/>
    </row>
    <row r="17" spans="1:24" x14ac:dyDescent="0.35">
      <c r="A17" s="49" t="s">
        <v>284</v>
      </c>
      <c r="B17" s="9"/>
      <c r="C17" s="9" t="s">
        <v>285</v>
      </c>
      <c r="D17" s="9" t="s">
        <v>286</v>
      </c>
      <c r="E17" s="9" t="s">
        <v>242</v>
      </c>
      <c r="F17" s="9"/>
      <c r="G17" s="9"/>
      <c r="H17" s="9"/>
      <c r="I17" s="9"/>
      <c r="J17" s="9"/>
      <c r="K17" s="9"/>
      <c r="L17" s="9"/>
      <c r="M17" s="9"/>
      <c r="N17" s="9"/>
      <c r="O17" s="9"/>
      <c r="P17" s="9"/>
      <c r="Q17" s="48"/>
      <c r="R17" s="48"/>
      <c r="S17" s="48"/>
      <c r="T17" s="48"/>
      <c r="U17" s="48"/>
      <c r="V17" s="48"/>
      <c r="W17" s="48"/>
      <c r="X17" s="48"/>
    </row>
    <row r="18" spans="1:24" x14ac:dyDescent="0.35">
      <c r="A18" s="9" t="s">
        <v>287</v>
      </c>
      <c r="B18" s="9"/>
      <c r="C18" s="9" t="s">
        <v>288</v>
      </c>
      <c r="D18" s="9" t="s">
        <v>289</v>
      </c>
      <c r="E18" s="9" t="s">
        <v>242</v>
      </c>
      <c r="F18" s="9"/>
      <c r="G18" s="9"/>
      <c r="H18" s="9"/>
      <c r="I18" s="9"/>
      <c r="J18" s="9"/>
      <c r="K18" s="9"/>
      <c r="L18" s="9"/>
      <c r="M18" s="9"/>
      <c r="N18" s="9"/>
      <c r="O18" s="9"/>
      <c r="P18" s="9"/>
      <c r="Q18" s="48"/>
      <c r="R18" s="48"/>
      <c r="S18" s="48"/>
      <c r="T18" s="48"/>
      <c r="U18" s="48"/>
      <c r="V18" s="48"/>
      <c r="W18" s="48"/>
      <c r="X18" s="48"/>
    </row>
    <row r="19" spans="1:24" x14ac:dyDescent="0.35">
      <c r="A19" s="49" t="s">
        <v>290</v>
      </c>
      <c r="B19" s="9"/>
      <c r="C19" s="9" t="s">
        <v>414</v>
      </c>
      <c r="D19" s="9" t="s">
        <v>415</v>
      </c>
      <c r="E19" s="9" t="s">
        <v>242</v>
      </c>
      <c r="F19" s="9"/>
      <c r="G19" s="9"/>
      <c r="H19" s="9"/>
      <c r="I19" s="9"/>
      <c r="J19" s="9"/>
      <c r="K19" s="9"/>
      <c r="L19" s="9"/>
      <c r="M19" s="9"/>
      <c r="N19" s="9"/>
      <c r="O19" s="9"/>
      <c r="P19" s="9"/>
    </row>
    <row r="20" spans="1:24" x14ac:dyDescent="0.35">
      <c r="A20" s="9" t="s">
        <v>291</v>
      </c>
      <c r="B20" s="9"/>
      <c r="C20" s="9" t="s">
        <v>292</v>
      </c>
      <c r="D20" s="9" t="s">
        <v>293</v>
      </c>
      <c r="E20" s="9" t="s">
        <v>242</v>
      </c>
      <c r="F20" s="9"/>
      <c r="G20" s="9"/>
      <c r="H20" s="9"/>
      <c r="I20" s="9"/>
      <c r="J20" s="9"/>
      <c r="K20" s="9"/>
      <c r="L20" s="9"/>
      <c r="M20" s="9"/>
      <c r="N20" s="9"/>
      <c r="O20" s="9"/>
      <c r="P20" s="9"/>
    </row>
    <row r="21" spans="1:24" ht="15.75" customHeight="1" x14ac:dyDescent="0.35">
      <c r="A21" s="49" t="s">
        <v>294</v>
      </c>
      <c r="B21" s="9"/>
      <c r="C21" s="9" t="s">
        <v>295</v>
      </c>
      <c r="D21" s="9" t="s">
        <v>296</v>
      </c>
      <c r="E21" s="9" t="s">
        <v>242</v>
      </c>
      <c r="F21" s="9"/>
      <c r="G21" s="9"/>
      <c r="H21" s="9"/>
      <c r="I21" s="9"/>
      <c r="J21" s="9"/>
      <c r="K21" s="9"/>
      <c r="L21" s="9"/>
      <c r="M21" s="9"/>
      <c r="N21" s="9"/>
      <c r="O21" s="9"/>
      <c r="P21" s="9"/>
    </row>
    <row r="22" spans="1:24" ht="15.75" customHeight="1" x14ac:dyDescent="0.35">
      <c r="A22" s="9" t="s">
        <v>297</v>
      </c>
      <c r="B22" s="9"/>
      <c r="C22" s="9" t="s">
        <v>298</v>
      </c>
      <c r="D22" s="9" t="s">
        <v>299</v>
      </c>
      <c r="E22" s="9" t="s">
        <v>242</v>
      </c>
      <c r="F22" s="9"/>
      <c r="G22" s="9"/>
      <c r="H22" s="9"/>
      <c r="I22" s="9"/>
      <c r="J22" s="9"/>
      <c r="K22" s="9"/>
      <c r="L22" s="9"/>
      <c r="M22" s="9"/>
      <c r="N22" s="9"/>
      <c r="O22" s="9"/>
      <c r="P22" s="9"/>
    </row>
    <row r="23" spans="1:24" ht="15.75" customHeight="1" x14ac:dyDescent="0.35">
      <c r="A23" s="49" t="s">
        <v>300</v>
      </c>
      <c r="B23" s="9"/>
      <c r="C23" s="9" t="s">
        <v>301</v>
      </c>
      <c r="D23" s="9" t="s">
        <v>302</v>
      </c>
      <c r="E23" s="9" t="s">
        <v>242</v>
      </c>
      <c r="F23" s="9"/>
      <c r="G23" s="9"/>
      <c r="H23" s="9"/>
      <c r="I23" s="9"/>
      <c r="J23" s="9"/>
      <c r="K23" s="9"/>
      <c r="L23" s="9"/>
      <c r="M23" s="9"/>
      <c r="N23" s="9"/>
      <c r="O23" s="9"/>
      <c r="P23" s="9"/>
    </row>
    <row r="24" spans="1:24" ht="15.75" customHeight="1" x14ac:dyDescent="0.35">
      <c r="A24" s="50" t="s">
        <v>303</v>
      </c>
      <c r="B24" s="50"/>
      <c r="C24" s="50" t="s">
        <v>304</v>
      </c>
      <c r="D24" s="50" t="s">
        <v>305</v>
      </c>
      <c r="E24" s="50" t="s">
        <v>242</v>
      </c>
      <c r="F24" s="9"/>
      <c r="G24" s="9"/>
      <c r="H24" s="9"/>
      <c r="I24" s="9"/>
      <c r="J24" s="9"/>
      <c r="K24" s="9"/>
      <c r="L24" s="9"/>
      <c r="M24" s="9"/>
      <c r="N24" s="9"/>
      <c r="O24" s="9"/>
      <c r="P24" s="9"/>
    </row>
    <row r="25" spans="1:24" ht="15.75" customHeight="1" x14ac:dyDescent="0.35">
      <c r="A25" s="81" t="s">
        <v>435</v>
      </c>
      <c r="C25" s="2" t="s">
        <v>434</v>
      </c>
    </row>
    <row r="26" spans="1:24" ht="29" x14ac:dyDescent="0.35">
      <c r="A26" s="82" t="s">
        <v>436</v>
      </c>
      <c r="B26" s="65"/>
      <c r="C26" s="55" t="s">
        <v>350</v>
      </c>
      <c r="D26" s="65" t="s">
        <v>351</v>
      </c>
      <c r="E26" s="65" t="s">
        <v>242</v>
      </c>
    </row>
    <row r="27" spans="1:24" ht="15.75" customHeight="1" x14ac:dyDescent="0.35"/>
    <row r="28" spans="1:24" ht="15.75" customHeight="1" x14ac:dyDescent="0.35"/>
    <row r="29" spans="1:24" ht="15.75" customHeight="1" x14ac:dyDescent="0.35"/>
    <row r="30" spans="1:24" ht="15.75" customHeight="1" x14ac:dyDescent="0.35"/>
    <row r="31" spans="1:24" ht="15.75" customHeight="1" x14ac:dyDescent="0.35"/>
    <row r="32" spans="1:2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3"/>
  <sheetViews>
    <sheetView workbookViewId="0">
      <selection activeCell="C11" sqref="C11"/>
    </sheetView>
  </sheetViews>
  <sheetFormatPr defaultColWidth="14.453125" defaultRowHeight="14.5" x14ac:dyDescent="0.35"/>
  <cols>
    <col min="1" max="1" width="15.1796875" style="2" customWidth="1"/>
    <col min="2" max="2" width="18.81640625" style="2" customWidth="1"/>
    <col min="3" max="3" width="86" style="2" customWidth="1"/>
    <col min="4" max="4" width="92.54296875" style="2" hidden="1" customWidth="1"/>
    <col min="5" max="12" width="9.1796875" style="2" customWidth="1"/>
    <col min="13" max="13" width="13" style="2" customWidth="1"/>
    <col min="14" max="14" width="9.1796875" style="2" customWidth="1"/>
    <col min="15" max="24" width="8.81640625" style="2" customWidth="1"/>
    <col min="25" max="16384" width="14.453125" style="2"/>
  </cols>
  <sheetData>
    <row r="1" spans="1:24" ht="29" x14ac:dyDescent="0.35">
      <c r="A1" s="12" t="s">
        <v>54</v>
      </c>
      <c r="B1" s="12" t="s">
        <v>55</v>
      </c>
      <c r="C1" s="12" t="s">
        <v>58</v>
      </c>
      <c r="D1" s="12" t="s">
        <v>59</v>
      </c>
      <c r="E1" s="12" t="s">
        <v>41</v>
      </c>
      <c r="F1" s="12" t="s">
        <v>45</v>
      </c>
      <c r="G1" s="14" t="s">
        <v>46</v>
      </c>
      <c r="H1" s="12" t="s">
        <v>47</v>
      </c>
      <c r="I1" s="12" t="s">
        <v>48</v>
      </c>
      <c r="J1" s="12" t="s">
        <v>49</v>
      </c>
      <c r="K1" s="12" t="s">
        <v>50</v>
      </c>
      <c r="L1" s="12" t="s">
        <v>51</v>
      </c>
      <c r="M1" s="13" t="s">
        <v>52</v>
      </c>
      <c r="N1" s="12" t="s">
        <v>53</v>
      </c>
      <c r="O1" s="15"/>
      <c r="P1" s="15"/>
      <c r="Q1" s="15"/>
      <c r="R1" s="15"/>
      <c r="S1" s="15"/>
      <c r="T1" s="15"/>
      <c r="U1" s="15"/>
      <c r="V1" s="15"/>
      <c r="W1" s="15"/>
      <c r="X1" s="15"/>
    </row>
    <row r="2" spans="1:24" x14ac:dyDescent="0.35">
      <c r="A2" s="9" t="s">
        <v>306</v>
      </c>
      <c r="B2" s="9"/>
      <c r="C2" s="9" t="s">
        <v>524</v>
      </c>
      <c r="D2" s="9" t="s">
        <v>307</v>
      </c>
      <c r="E2" s="9" t="s">
        <v>308</v>
      </c>
      <c r="F2" s="9"/>
      <c r="G2" s="9"/>
      <c r="H2" s="9"/>
      <c r="I2" s="9"/>
      <c r="J2" s="9"/>
      <c r="K2" s="9"/>
      <c r="L2" s="9"/>
      <c r="M2" s="9"/>
      <c r="N2" s="9"/>
      <c r="O2" s="48"/>
      <c r="P2" s="48"/>
      <c r="Q2" s="48"/>
      <c r="R2" s="48"/>
      <c r="S2" s="48"/>
      <c r="T2" s="48"/>
      <c r="U2" s="48"/>
      <c r="V2" s="48"/>
      <c r="W2" s="48"/>
      <c r="X2" s="48"/>
    </row>
    <row r="3" spans="1:24" x14ac:dyDescent="0.35">
      <c r="A3" s="49" t="s">
        <v>309</v>
      </c>
      <c r="B3" s="9"/>
      <c r="C3" s="9" t="s">
        <v>525</v>
      </c>
      <c r="D3" s="9" t="s">
        <v>310</v>
      </c>
      <c r="E3" s="9" t="s">
        <v>308</v>
      </c>
      <c r="F3" s="9"/>
      <c r="G3" s="9"/>
      <c r="H3" s="9"/>
      <c r="I3" s="9"/>
      <c r="J3" s="9"/>
      <c r="K3" s="9"/>
      <c r="L3" s="9"/>
      <c r="M3" s="9"/>
      <c r="N3" s="9"/>
      <c r="O3" s="48"/>
      <c r="P3" s="48"/>
      <c r="Q3" s="48"/>
      <c r="R3" s="48"/>
      <c r="S3" s="48"/>
      <c r="T3" s="48"/>
      <c r="U3" s="48"/>
      <c r="V3" s="48"/>
      <c r="W3" s="48"/>
      <c r="X3" s="48"/>
    </row>
    <row r="4" spans="1:24" x14ac:dyDescent="0.35">
      <c r="A4" s="9" t="s">
        <v>311</v>
      </c>
      <c r="B4" s="9"/>
      <c r="C4" s="9" t="s">
        <v>526</v>
      </c>
      <c r="D4" s="9" t="s">
        <v>245</v>
      </c>
      <c r="E4" s="9" t="s">
        <v>308</v>
      </c>
      <c r="F4" s="9"/>
      <c r="G4" s="9"/>
      <c r="H4" s="9"/>
      <c r="I4" s="9"/>
      <c r="J4" s="9"/>
      <c r="K4" s="9"/>
      <c r="L4" s="9"/>
      <c r="M4" s="9"/>
      <c r="N4" s="9"/>
      <c r="O4" s="48"/>
      <c r="P4" s="48"/>
      <c r="Q4" s="48"/>
      <c r="R4" s="48"/>
      <c r="S4" s="48"/>
      <c r="T4" s="48"/>
      <c r="U4" s="48"/>
      <c r="V4" s="48"/>
      <c r="W4" s="48"/>
      <c r="X4" s="48"/>
    </row>
    <row r="5" spans="1:24" x14ac:dyDescent="0.35">
      <c r="A5" s="49" t="s">
        <v>312</v>
      </c>
      <c r="B5" s="9"/>
      <c r="C5" s="9" t="s">
        <v>527</v>
      </c>
      <c r="D5" s="9" t="s">
        <v>248</v>
      </c>
      <c r="E5" s="9" t="s">
        <v>308</v>
      </c>
      <c r="F5" s="9"/>
      <c r="G5" s="9"/>
      <c r="H5" s="9"/>
      <c r="I5" s="9"/>
      <c r="J5" s="9"/>
      <c r="K5" s="9"/>
      <c r="L5" s="9"/>
      <c r="M5" s="9"/>
      <c r="N5" s="9"/>
      <c r="O5" s="48"/>
      <c r="P5" s="48"/>
      <c r="Q5" s="48"/>
      <c r="R5" s="48"/>
      <c r="S5" s="48"/>
      <c r="T5" s="48"/>
      <c r="U5" s="48"/>
      <c r="V5" s="48"/>
      <c r="W5" s="48"/>
      <c r="X5" s="48"/>
    </row>
    <row r="6" spans="1:24" x14ac:dyDescent="0.35">
      <c r="A6" s="78" t="s">
        <v>313</v>
      </c>
      <c r="B6" s="9"/>
      <c r="C6" s="9" t="s">
        <v>528</v>
      </c>
      <c r="D6" s="9" t="s">
        <v>251</v>
      </c>
      <c r="E6" s="9" t="s">
        <v>308</v>
      </c>
      <c r="F6" s="9"/>
      <c r="G6" s="9"/>
      <c r="H6" s="9"/>
      <c r="I6" s="9"/>
      <c r="J6" s="9"/>
      <c r="K6" s="9"/>
      <c r="L6" s="9"/>
      <c r="M6" s="9"/>
      <c r="N6" s="9"/>
      <c r="O6" s="48"/>
      <c r="P6" s="48"/>
      <c r="Q6" s="48"/>
      <c r="R6" s="48"/>
      <c r="S6" s="48"/>
      <c r="T6" s="48"/>
      <c r="U6" s="48"/>
      <c r="V6" s="48"/>
      <c r="W6" s="48"/>
      <c r="X6" s="48"/>
    </row>
    <row r="7" spans="1:24" ht="29" x14ac:dyDescent="0.35">
      <c r="A7" s="81" t="s">
        <v>314</v>
      </c>
      <c r="B7" s="9"/>
      <c r="C7" s="10" t="s">
        <v>606</v>
      </c>
      <c r="D7" s="9" t="s">
        <v>315</v>
      </c>
      <c r="E7" s="9" t="s">
        <v>308</v>
      </c>
      <c r="F7" s="9"/>
      <c r="G7" s="9"/>
      <c r="H7" s="9"/>
      <c r="I7" s="9"/>
      <c r="J7" s="9"/>
      <c r="K7" s="9"/>
      <c r="L7" s="9"/>
      <c r="M7" s="9"/>
      <c r="N7" s="9"/>
      <c r="O7" s="48"/>
      <c r="P7" s="48"/>
      <c r="Q7" s="48"/>
      <c r="R7" s="48"/>
      <c r="S7" s="48"/>
      <c r="T7" s="48"/>
      <c r="U7" s="48"/>
      <c r="V7" s="48"/>
      <c r="W7" s="48"/>
      <c r="X7" s="48"/>
    </row>
    <row r="8" spans="1:24" x14ac:dyDescent="0.35">
      <c r="A8" s="78" t="s">
        <v>316</v>
      </c>
      <c r="B8" s="9"/>
      <c r="C8" s="9" t="s">
        <v>607</v>
      </c>
      <c r="D8" s="9" t="s">
        <v>355</v>
      </c>
      <c r="E8" s="9" t="s">
        <v>308</v>
      </c>
      <c r="F8" s="9"/>
      <c r="G8" s="9"/>
      <c r="H8" s="9"/>
      <c r="I8" s="9"/>
      <c r="J8" s="9"/>
      <c r="K8" s="9"/>
      <c r="L8" s="9"/>
      <c r="M8" s="9"/>
      <c r="N8" s="9"/>
      <c r="O8" s="48"/>
      <c r="P8" s="48"/>
      <c r="Q8" s="48"/>
      <c r="R8" s="48"/>
      <c r="S8" s="48"/>
      <c r="T8" s="48"/>
      <c r="U8" s="48"/>
      <c r="V8" s="48"/>
      <c r="W8" s="48"/>
      <c r="X8" s="48"/>
    </row>
    <row r="9" spans="1:24" x14ac:dyDescent="0.35">
      <c r="A9" s="81" t="s">
        <v>317</v>
      </c>
      <c r="B9" s="9"/>
      <c r="C9" s="9" t="s">
        <v>529</v>
      </c>
      <c r="D9" s="9" t="s">
        <v>357</v>
      </c>
      <c r="E9" s="82" t="s">
        <v>308</v>
      </c>
      <c r="F9" s="82"/>
      <c r="G9" s="9"/>
      <c r="H9" s="9"/>
      <c r="I9" s="9"/>
      <c r="J9" s="9"/>
      <c r="K9" s="9"/>
      <c r="L9" s="9"/>
      <c r="M9" s="9"/>
      <c r="N9" s="9"/>
      <c r="O9" s="48"/>
      <c r="P9" s="48"/>
      <c r="Q9" s="48"/>
      <c r="R9" s="48"/>
      <c r="S9" s="48"/>
      <c r="T9" s="48"/>
      <c r="U9" s="48"/>
      <c r="V9" s="48"/>
      <c r="W9" s="48"/>
      <c r="X9" s="48"/>
    </row>
    <row r="10" spans="1:24" ht="72.5" x14ac:dyDescent="0.35">
      <c r="A10" s="78" t="s">
        <v>319</v>
      </c>
      <c r="B10" s="78"/>
      <c r="C10" s="10" t="s">
        <v>592</v>
      </c>
      <c r="D10" s="104"/>
      <c r="E10" s="78" t="s">
        <v>308</v>
      </c>
      <c r="F10" s="66"/>
      <c r="G10" s="108"/>
      <c r="H10" s="78"/>
      <c r="I10" s="78"/>
      <c r="J10" s="78"/>
      <c r="K10" s="78"/>
      <c r="L10" s="78"/>
      <c r="M10" s="78"/>
      <c r="N10" s="78"/>
      <c r="O10" s="48"/>
      <c r="P10" s="48"/>
      <c r="Q10" s="48"/>
      <c r="R10" s="48"/>
      <c r="S10" s="48"/>
      <c r="T10" s="48"/>
      <c r="U10" s="48"/>
      <c r="V10" s="48"/>
      <c r="W10" s="48"/>
      <c r="X10" s="48"/>
    </row>
    <row r="11" spans="1:24" ht="101.5" x14ac:dyDescent="0.35">
      <c r="A11" s="81" t="s">
        <v>321</v>
      </c>
      <c r="B11" s="78"/>
      <c r="C11" s="10" t="s">
        <v>593</v>
      </c>
      <c r="D11" s="104"/>
      <c r="E11" s="78" t="s">
        <v>308</v>
      </c>
      <c r="F11" s="66"/>
      <c r="G11" s="108"/>
      <c r="H11" s="78"/>
      <c r="I11" s="78"/>
      <c r="J11" s="78"/>
      <c r="K11" s="78"/>
      <c r="L11" s="78"/>
      <c r="M11" s="78"/>
      <c r="N11" s="78"/>
      <c r="O11" s="48"/>
      <c r="P11" s="48"/>
      <c r="Q11" s="48"/>
      <c r="R11" s="48"/>
      <c r="S11" s="48"/>
      <c r="T11" s="48"/>
      <c r="U11" s="48"/>
      <c r="V11" s="48"/>
      <c r="W11" s="48"/>
      <c r="X11" s="48"/>
    </row>
    <row r="12" spans="1:24" x14ac:dyDescent="0.35">
      <c r="A12" s="78" t="s">
        <v>323</v>
      </c>
      <c r="B12" s="9"/>
      <c r="C12" s="9" t="s">
        <v>594</v>
      </c>
      <c r="D12" s="104" t="s">
        <v>356</v>
      </c>
      <c r="E12" s="56" t="s">
        <v>308</v>
      </c>
      <c r="F12" s="56"/>
      <c r="G12" s="108"/>
      <c r="H12" s="9"/>
      <c r="I12" s="9"/>
      <c r="J12" s="9"/>
      <c r="K12" s="9"/>
      <c r="L12" s="9"/>
      <c r="M12" s="9"/>
      <c r="N12" s="9"/>
      <c r="O12" s="48"/>
      <c r="P12" s="48"/>
      <c r="Q12" s="48"/>
      <c r="R12" s="48"/>
      <c r="S12" s="48"/>
      <c r="T12" s="48"/>
      <c r="U12" s="48"/>
      <c r="V12" s="48"/>
      <c r="W12" s="48"/>
      <c r="X12" s="48"/>
    </row>
    <row r="13" spans="1:24" x14ac:dyDescent="0.35">
      <c r="A13" s="81" t="s">
        <v>353</v>
      </c>
      <c r="B13" s="78"/>
      <c r="C13" s="78" t="s">
        <v>595</v>
      </c>
      <c r="D13" s="104"/>
      <c r="E13" s="56"/>
      <c r="F13" s="56"/>
      <c r="G13" s="108"/>
      <c r="H13" s="78"/>
      <c r="I13" s="78"/>
      <c r="J13" s="78"/>
      <c r="K13" s="78"/>
      <c r="L13" s="78"/>
      <c r="M13" s="78"/>
      <c r="N13" s="78"/>
      <c r="O13" s="48"/>
      <c r="P13" s="48"/>
      <c r="Q13" s="48"/>
      <c r="R13" s="48"/>
      <c r="S13" s="48"/>
      <c r="T13" s="48"/>
      <c r="U13" s="48"/>
      <c r="V13" s="48"/>
      <c r="W13" s="48"/>
      <c r="X13" s="48"/>
    </row>
    <row r="14" spans="1:24" x14ac:dyDescent="0.35">
      <c r="A14" s="78" t="s">
        <v>35</v>
      </c>
      <c r="B14" s="9"/>
      <c r="C14" s="9" t="s">
        <v>530</v>
      </c>
      <c r="D14" s="104" t="s">
        <v>263</v>
      </c>
      <c r="E14" s="56" t="s">
        <v>308</v>
      </c>
      <c r="F14" s="56"/>
      <c r="G14" s="108"/>
      <c r="H14" s="9"/>
      <c r="I14" s="9"/>
      <c r="J14" s="9"/>
      <c r="K14" s="9"/>
      <c r="L14" s="9"/>
      <c r="M14" s="9"/>
      <c r="N14" s="9"/>
      <c r="O14" s="48"/>
      <c r="P14" s="48"/>
      <c r="Q14" s="48"/>
      <c r="R14" s="48"/>
      <c r="S14" s="48"/>
      <c r="T14" s="48"/>
      <c r="U14" s="48"/>
      <c r="V14" s="48"/>
      <c r="W14" s="48"/>
      <c r="X14" s="48"/>
    </row>
    <row r="15" spans="1:24" x14ac:dyDescent="0.35">
      <c r="A15" s="81" t="s">
        <v>37</v>
      </c>
      <c r="B15" s="50"/>
      <c r="C15" s="50" t="s">
        <v>531</v>
      </c>
      <c r="D15" s="105" t="s">
        <v>326</v>
      </c>
      <c r="E15" s="56" t="s">
        <v>308</v>
      </c>
      <c r="F15" s="56"/>
      <c r="G15" s="108"/>
      <c r="H15" s="9"/>
      <c r="I15" s="9"/>
      <c r="J15" s="9"/>
      <c r="K15" s="9"/>
      <c r="L15" s="9"/>
      <c r="M15" s="9"/>
      <c r="N15" s="9"/>
      <c r="O15" s="48"/>
      <c r="P15" s="48"/>
      <c r="Q15" s="48"/>
      <c r="R15" s="48"/>
      <c r="S15" s="48"/>
      <c r="T15" s="48"/>
      <c r="U15" s="48"/>
      <c r="V15" s="48"/>
      <c r="W15" s="48"/>
      <c r="X15" s="48"/>
    </row>
    <row r="16" spans="1:24" x14ac:dyDescent="0.35">
      <c r="A16" s="78" t="s">
        <v>38</v>
      </c>
      <c r="B16" s="56"/>
      <c r="C16" s="56" t="s">
        <v>557</v>
      </c>
      <c r="D16" s="106" t="s">
        <v>327</v>
      </c>
      <c r="E16" s="56" t="s">
        <v>308</v>
      </c>
      <c r="F16" s="67"/>
      <c r="G16" s="58"/>
      <c r="H16" s="50"/>
      <c r="I16" s="50"/>
      <c r="J16" s="50"/>
      <c r="K16" s="50"/>
      <c r="L16" s="50"/>
      <c r="M16" s="50"/>
      <c r="N16" s="50"/>
      <c r="O16" s="48"/>
      <c r="P16" s="48"/>
      <c r="Q16" s="48"/>
      <c r="R16" s="48"/>
      <c r="S16" s="48"/>
      <c r="T16" s="48"/>
      <c r="U16" s="48"/>
      <c r="V16" s="48"/>
      <c r="W16" s="48"/>
      <c r="X16" s="48"/>
    </row>
    <row r="17" spans="1:24" ht="30" customHeight="1" x14ac:dyDescent="0.35">
      <c r="A17" s="81" t="s">
        <v>536</v>
      </c>
      <c r="B17" s="56"/>
      <c r="C17" s="70" t="s">
        <v>535</v>
      </c>
      <c r="D17" s="106"/>
      <c r="E17" s="56" t="s">
        <v>308</v>
      </c>
      <c r="F17" s="56"/>
      <c r="G17" s="56"/>
      <c r="H17" s="56"/>
      <c r="I17" s="56"/>
      <c r="J17" s="56"/>
      <c r="K17" s="56"/>
      <c r="L17" s="56"/>
      <c r="M17" s="56"/>
      <c r="N17" s="56"/>
      <c r="O17" s="48"/>
      <c r="P17" s="48"/>
      <c r="Q17" s="48"/>
      <c r="R17" s="48"/>
      <c r="S17" s="48"/>
      <c r="T17" s="48"/>
      <c r="U17" s="48"/>
      <c r="V17" s="48"/>
      <c r="W17" s="48"/>
      <c r="X17" s="48"/>
    </row>
    <row r="18" spans="1:24" x14ac:dyDescent="0.35">
      <c r="A18" s="78" t="s">
        <v>537</v>
      </c>
      <c r="B18" s="67"/>
      <c r="C18" s="68" t="s">
        <v>533</v>
      </c>
      <c r="D18" s="106"/>
      <c r="E18" s="56" t="s">
        <v>308</v>
      </c>
      <c r="F18" s="56"/>
      <c r="G18" s="56"/>
      <c r="H18" s="56"/>
      <c r="I18" s="56"/>
      <c r="J18" s="56"/>
      <c r="K18" s="56"/>
      <c r="L18" s="56"/>
      <c r="M18" s="56"/>
      <c r="N18" s="56"/>
      <c r="O18" s="48"/>
      <c r="P18" s="48"/>
      <c r="Q18" s="48"/>
      <c r="R18" s="48"/>
      <c r="S18" s="48"/>
      <c r="T18" s="48"/>
      <c r="U18" s="48"/>
      <c r="V18" s="48"/>
      <c r="W18" s="48"/>
      <c r="X18" s="48"/>
    </row>
    <row r="19" spans="1:24" ht="43.5" x14ac:dyDescent="0.35">
      <c r="A19" s="81" t="s">
        <v>539</v>
      </c>
      <c r="B19" s="56"/>
      <c r="C19" s="57" t="s">
        <v>532</v>
      </c>
      <c r="D19" s="106" t="s">
        <v>354</v>
      </c>
      <c r="E19" s="56" t="s">
        <v>308</v>
      </c>
      <c r="F19" s="56"/>
      <c r="G19" s="56"/>
      <c r="H19" s="56"/>
      <c r="I19" s="56"/>
      <c r="J19" s="56"/>
      <c r="K19" s="56"/>
      <c r="L19" s="56"/>
      <c r="M19" s="56"/>
      <c r="N19" s="56"/>
      <c r="O19" s="48"/>
      <c r="P19" s="48"/>
      <c r="Q19" s="48"/>
      <c r="R19" s="48"/>
      <c r="S19" s="48"/>
      <c r="T19" s="48"/>
      <c r="U19" s="48"/>
      <c r="V19" s="48"/>
      <c r="W19" s="48"/>
      <c r="X19" s="48"/>
    </row>
    <row r="20" spans="1:24" ht="29" x14ac:dyDescent="0.35">
      <c r="A20" s="78" t="s">
        <v>596</v>
      </c>
      <c r="B20" s="56"/>
      <c r="C20" s="57" t="s">
        <v>556</v>
      </c>
      <c r="D20" s="107" t="s">
        <v>336</v>
      </c>
      <c r="E20" s="56" t="s">
        <v>308</v>
      </c>
      <c r="F20" s="56"/>
      <c r="G20" s="56"/>
      <c r="H20" s="56"/>
      <c r="I20" s="56"/>
      <c r="J20" s="56"/>
      <c r="K20" s="56"/>
      <c r="L20" s="56"/>
      <c r="M20" s="56"/>
      <c r="N20" s="56"/>
      <c r="O20" s="48"/>
      <c r="P20" s="48"/>
      <c r="Q20" s="48"/>
      <c r="R20" s="48"/>
      <c r="S20" s="48"/>
      <c r="T20" s="48"/>
      <c r="U20" s="48"/>
      <c r="V20" s="48"/>
      <c r="W20" s="48"/>
      <c r="X20" s="48"/>
    </row>
    <row r="21" spans="1:24" ht="29" x14ac:dyDescent="0.35">
      <c r="A21" s="81" t="s">
        <v>597</v>
      </c>
      <c r="B21" s="51"/>
      <c r="C21" s="55" t="s">
        <v>534</v>
      </c>
      <c r="D21" s="68" t="s">
        <v>416</v>
      </c>
      <c r="E21" s="109" t="s">
        <v>308</v>
      </c>
      <c r="F21" s="51"/>
      <c r="G21" s="51"/>
      <c r="H21" s="51"/>
      <c r="I21" s="51"/>
      <c r="J21" s="51"/>
      <c r="K21" s="51"/>
      <c r="L21" s="51"/>
      <c r="M21" s="51"/>
      <c r="N21" s="51"/>
      <c r="O21" s="48"/>
      <c r="P21" s="48"/>
      <c r="Q21" s="48"/>
      <c r="R21" s="48"/>
      <c r="S21" s="48"/>
      <c r="T21" s="48"/>
      <c r="U21" s="48"/>
      <c r="V21" s="48"/>
      <c r="W21" s="48"/>
      <c r="X21" s="48"/>
    </row>
    <row r="22" spans="1:24" x14ac:dyDescent="0.35">
      <c r="A22" s="78" t="s">
        <v>598</v>
      </c>
      <c r="B22" s="51"/>
      <c r="C22" s="55" t="s">
        <v>538</v>
      </c>
      <c r="D22" s="51"/>
      <c r="E22" s="51" t="s">
        <v>308</v>
      </c>
      <c r="F22" s="51"/>
      <c r="G22" s="51"/>
      <c r="H22" s="51"/>
      <c r="I22" s="51"/>
      <c r="J22" s="51"/>
      <c r="K22" s="51"/>
      <c r="L22" s="51"/>
      <c r="M22" s="51"/>
      <c r="N22" s="51"/>
      <c r="O22" s="48"/>
      <c r="P22" s="48"/>
      <c r="Q22" s="48"/>
      <c r="R22" s="48"/>
      <c r="S22" s="48"/>
      <c r="T22" s="48"/>
      <c r="U22" s="48"/>
      <c r="V22" s="48"/>
      <c r="W22" s="48"/>
      <c r="X22" s="48"/>
    </row>
    <row r="23" spans="1:24" x14ac:dyDescent="0.35">
      <c r="A23" s="48"/>
      <c r="B23" s="48"/>
      <c r="C23" s="48"/>
      <c r="D23" s="48"/>
      <c r="E23" s="48"/>
      <c r="F23" s="48"/>
      <c r="G23" s="48"/>
      <c r="H23" s="48"/>
      <c r="I23" s="48"/>
      <c r="J23" s="48"/>
      <c r="K23" s="48"/>
      <c r="L23" s="48"/>
      <c r="M23" s="48"/>
      <c r="N23" s="48"/>
      <c r="O23" s="48"/>
      <c r="P23" s="48"/>
      <c r="Q23" s="48"/>
      <c r="R23" s="48"/>
      <c r="S23" s="48"/>
      <c r="T23" s="48"/>
      <c r="U23" s="48"/>
      <c r="V23" s="48"/>
      <c r="W23" s="48"/>
      <c r="X23" s="48"/>
    </row>
    <row r="24" spans="1:24" ht="15.75" customHeight="1" x14ac:dyDescent="0.35">
      <c r="A24" s="48"/>
      <c r="B24" s="48"/>
      <c r="C24" s="48"/>
      <c r="D24" s="48"/>
      <c r="E24" s="48"/>
      <c r="F24" s="48"/>
      <c r="G24" s="48"/>
      <c r="H24" s="48"/>
      <c r="I24" s="48"/>
      <c r="J24" s="48"/>
      <c r="K24" s="48"/>
      <c r="L24" s="48"/>
      <c r="M24" s="48"/>
      <c r="N24" s="48"/>
      <c r="O24" s="48"/>
      <c r="P24" s="48"/>
      <c r="Q24" s="48"/>
      <c r="R24" s="48"/>
      <c r="S24" s="48"/>
      <c r="T24" s="48"/>
      <c r="U24" s="48"/>
      <c r="V24" s="48"/>
      <c r="W24" s="48"/>
      <c r="X24" s="48"/>
    </row>
    <row r="25" spans="1:24" ht="15.75" customHeight="1" x14ac:dyDescent="0.35">
      <c r="A25" s="48"/>
      <c r="B25" s="48"/>
      <c r="C25" s="48"/>
      <c r="D25" s="48"/>
      <c r="E25" s="48"/>
      <c r="F25" s="48"/>
      <c r="G25" s="48"/>
      <c r="H25" s="48"/>
      <c r="I25" s="48"/>
      <c r="J25" s="48"/>
      <c r="K25" s="48"/>
      <c r="L25" s="48"/>
      <c r="M25" s="48"/>
      <c r="N25" s="48"/>
      <c r="O25" s="48"/>
      <c r="P25" s="48"/>
      <c r="Q25" s="48"/>
      <c r="R25" s="48"/>
      <c r="S25" s="48"/>
      <c r="T25" s="48"/>
      <c r="U25" s="48"/>
      <c r="V25" s="48"/>
      <c r="W25" s="48"/>
      <c r="X25" s="48"/>
    </row>
    <row r="26" spans="1:24" ht="15.75" customHeight="1" x14ac:dyDescent="0.35">
      <c r="A26" s="48"/>
      <c r="B26" s="48"/>
      <c r="C26" s="48"/>
      <c r="D26" s="48"/>
      <c r="E26" s="48"/>
      <c r="F26" s="48"/>
      <c r="G26" s="48"/>
      <c r="H26" s="48"/>
      <c r="I26" s="48"/>
      <c r="J26" s="48"/>
      <c r="K26" s="48"/>
      <c r="L26" s="48"/>
      <c r="M26" s="48"/>
      <c r="N26" s="48"/>
      <c r="O26" s="48"/>
      <c r="P26" s="48"/>
      <c r="Q26" s="48"/>
      <c r="R26" s="48"/>
      <c r="S26" s="48"/>
      <c r="T26" s="48"/>
      <c r="U26" s="48"/>
      <c r="V26" s="48"/>
      <c r="W26" s="48"/>
      <c r="X26" s="48"/>
    </row>
    <row r="27" spans="1:24" ht="15.75" customHeight="1" x14ac:dyDescent="0.35">
      <c r="A27" s="48"/>
      <c r="B27" s="48"/>
      <c r="C27" s="48"/>
      <c r="D27" s="48"/>
      <c r="E27" s="48"/>
      <c r="F27" s="48"/>
      <c r="G27" s="48"/>
      <c r="H27" s="48"/>
      <c r="I27" s="48"/>
      <c r="J27" s="48"/>
      <c r="K27" s="48"/>
      <c r="L27" s="48"/>
      <c r="M27" s="48"/>
      <c r="N27" s="48"/>
      <c r="O27" s="48"/>
      <c r="P27" s="48"/>
      <c r="Q27" s="48"/>
      <c r="R27" s="48"/>
      <c r="S27" s="48"/>
      <c r="T27" s="48"/>
      <c r="U27" s="48"/>
      <c r="V27" s="48"/>
      <c r="W27" s="48"/>
      <c r="X27" s="48"/>
    </row>
    <row r="28" spans="1:24" ht="15.75" customHeight="1" x14ac:dyDescent="0.35">
      <c r="A28" s="48"/>
      <c r="B28" s="48"/>
      <c r="C28" s="48"/>
      <c r="D28" s="48"/>
      <c r="E28" s="48"/>
      <c r="F28" s="48"/>
      <c r="G28" s="48"/>
      <c r="H28" s="48"/>
      <c r="I28" s="48"/>
      <c r="J28" s="48"/>
      <c r="K28" s="48"/>
      <c r="L28" s="48"/>
      <c r="M28" s="48"/>
      <c r="N28" s="48"/>
      <c r="O28" s="48"/>
      <c r="P28" s="48"/>
      <c r="Q28" s="48"/>
      <c r="R28" s="48"/>
      <c r="S28" s="48"/>
      <c r="T28" s="48"/>
      <c r="U28" s="48"/>
      <c r="V28" s="48"/>
      <c r="W28" s="48"/>
      <c r="X28" s="48"/>
    </row>
    <row r="29" spans="1:24" ht="15.75" customHeight="1" x14ac:dyDescent="0.35">
      <c r="A29" s="48"/>
      <c r="B29" s="48"/>
      <c r="C29" s="48"/>
      <c r="D29" s="48"/>
      <c r="E29" s="48"/>
      <c r="F29" s="48"/>
      <c r="G29" s="48"/>
      <c r="H29" s="48"/>
      <c r="I29" s="48"/>
      <c r="J29" s="48"/>
      <c r="K29" s="48"/>
      <c r="L29" s="48"/>
      <c r="M29" s="48"/>
      <c r="N29" s="48"/>
      <c r="O29" s="48"/>
      <c r="P29" s="48"/>
      <c r="Q29" s="48"/>
      <c r="R29" s="48"/>
      <c r="S29" s="48"/>
      <c r="T29" s="48"/>
      <c r="U29" s="48"/>
      <c r="V29" s="48"/>
      <c r="W29" s="48"/>
      <c r="X29" s="48"/>
    </row>
    <row r="30" spans="1:24" ht="15.75" customHeight="1" x14ac:dyDescent="0.35">
      <c r="A30" s="48"/>
      <c r="B30" s="48"/>
      <c r="C30" s="48"/>
      <c r="D30" s="48"/>
      <c r="E30" s="48"/>
      <c r="F30" s="48"/>
      <c r="G30" s="48"/>
      <c r="H30" s="48"/>
      <c r="I30" s="48"/>
      <c r="J30" s="48"/>
      <c r="K30" s="48"/>
      <c r="L30" s="48"/>
      <c r="M30" s="48"/>
      <c r="N30" s="48"/>
      <c r="O30" s="48"/>
      <c r="P30" s="48"/>
      <c r="Q30" s="48"/>
      <c r="R30" s="48"/>
      <c r="S30" s="48"/>
      <c r="T30" s="48"/>
      <c r="U30" s="48"/>
      <c r="V30" s="48"/>
      <c r="W30" s="48"/>
      <c r="X30" s="48"/>
    </row>
    <row r="31" spans="1:24" ht="15.75" customHeight="1" x14ac:dyDescent="0.35">
      <c r="A31" s="48"/>
      <c r="B31" s="48"/>
      <c r="C31" s="48"/>
      <c r="D31" s="48"/>
      <c r="E31" s="48"/>
      <c r="F31" s="48"/>
      <c r="G31" s="48"/>
      <c r="H31" s="48"/>
      <c r="I31" s="48"/>
      <c r="J31" s="48"/>
      <c r="K31" s="48"/>
      <c r="L31" s="48"/>
      <c r="M31" s="48"/>
      <c r="N31" s="48"/>
      <c r="O31" s="48"/>
      <c r="P31" s="48"/>
      <c r="Q31" s="48"/>
      <c r="R31" s="48"/>
      <c r="S31" s="48"/>
      <c r="T31" s="48"/>
      <c r="U31" s="48"/>
      <c r="V31" s="48"/>
      <c r="W31" s="48"/>
      <c r="X31" s="48"/>
    </row>
    <row r="32" spans="1:24" ht="15.75" customHeight="1" x14ac:dyDescent="0.35">
      <c r="A32" s="48"/>
      <c r="B32" s="48"/>
      <c r="C32" s="48"/>
      <c r="D32" s="48"/>
      <c r="E32" s="48"/>
      <c r="F32" s="48"/>
      <c r="G32" s="48"/>
      <c r="H32" s="48"/>
      <c r="I32" s="48"/>
      <c r="J32" s="48"/>
      <c r="K32" s="48"/>
      <c r="L32" s="48"/>
      <c r="M32" s="48"/>
      <c r="N32" s="48"/>
      <c r="O32" s="48"/>
      <c r="P32" s="48"/>
      <c r="Q32" s="48"/>
      <c r="R32" s="48"/>
      <c r="S32" s="48"/>
      <c r="T32" s="48"/>
      <c r="U32" s="48"/>
      <c r="V32" s="48"/>
      <c r="W32" s="48"/>
      <c r="X32" s="48"/>
    </row>
    <row r="33" spans="1:24" ht="15.75" customHeight="1" x14ac:dyDescent="0.35">
      <c r="A33" s="48"/>
      <c r="B33" s="48"/>
      <c r="C33" s="48"/>
      <c r="D33" s="48"/>
      <c r="E33" s="48"/>
      <c r="F33" s="48"/>
      <c r="G33" s="48"/>
      <c r="H33" s="48"/>
      <c r="I33" s="48"/>
      <c r="J33" s="48"/>
      <c r="K33" s="48"/>
      <c r="L33" s="48"/>
      <c r="M33" s="48"/>
      <c r="N33" s="48"/>
      <c r="O33" s="48"/>
      <c r="P33" s="48"/>
      <c r="Q33" s="48"/>
      <c r="R33" s="48"/>
      <c r="S33" s="48"/>
      <c r="T33" s="48"/>
      <c r="U33" s="48"/>
      <c r="V33" s="48"/>
      <c r="W33" s="48"/>
      <c r="X33" s="48"/>
    </row>
    <row r="34" spans="1:24" ht="15.75" customHeight="1" x14ac:dyDescent="0.35">
      <c r="A34" s="48"/>
      <c r="B34" s="48"/>
      <c r="C34" s="48"/>
      <c r="D34" s="48"/>
      <c r="E34" s="48"/>
      <c r="F34" s="48"/>
      <c r="G34" s="48"/>
      <c r="H34" s="48"/>
      <c r="I34" s="48"/>
      <c r="J34" s="48"/>
      <c r="K34" s="48"/>
      <c r="L34" s="48"/>
      <c r="M34" s="48"/>
      <c r="N34" s="48"/>
      <c r="O34" s="48"/>
      <c r="P34" s="48"/>
      <c r="Q34" s="48"/>
      <c r="R34" s="48"/>
      <c r="S34" s="48"/>
      <c r="T34" s="48"/>
      <c r="U34" s="48"/>
      <c r="V34" s="48"/>
      <c r="W34" s="48"/>
      <c r="X34" s="48"/>
    </row>
    <row r="35" spans="1:24" ht="15.75" customHeight="1" x14ac:dyDescent="0.35">
      <c r="A35" s="48"/>
      <c r="B35" s="48"/>
      <c r="C35" s="48"/>
      <c r="D35" s="48"/>
      <c r="E35" s="48"/>
      <c r="F35" s="48"/>
      <c r="G35" s="48"/>
      <c r="H35" s="48"/>
      <c r="I35" s="48"/>
      <c r="J35" s="48"/>
      <c r="K35" s="48"/>
      <c r="L35" s="48"/>
      <c r="M35" s="48"/>
      <c r="N35" s="48"/>
      <c r="O35" s="48"/>
      <c r="P35" s="48"/>
      <c r="Q35" s="48"/>
      <c r="R35" s="48"/>
      <c r="S35" s="48"/>
      <c r="T35" s="48"/>
      <c r="U35" s="48"/>
      <c r="V35" s="48"/>
      <c r="W35" s="48"/>
      <c r="X35" s="48"/>
    </row>
    <row r="36" spans="1:24" ht="15.75" customHeight="1" x14ac:dyDescent="0.35">
      <c r="A36" s="48"/>
      <c r="B36" s="48"/>
      <c r="C36" s="48"/>
      <c r="D36" s="48"/>
      <c r="E36" s="48"/>
      <c r="F36" s="48"/>
      <c r="G36" s="48"/>
      <c r="H36" s="48"/>
      <c r="I36" s="48"/>
      <c r="J36" s="48"/>
      <c r="K36" s="48"/>
      <c r="L36" s="48"/>
      <c r="M36" s="48"/>
      <c r="N36" s="48"/>
      <c r="O36" s="48"/>
      <c r="P36" s="48"/>
      <c r="Q36" s="48"/>
      <c r="R36" s="48"/>
      <c r="S36" s="48"/>
      <c r="T36" s="48"/>
      <c r="U36" s="48"/>
      <c r="V36" s="48"/>
      <c r="W36" s="48"/>
      <c r="X36" s="48"/>
    </row>
    <row r="37" spans="1:24" ht="15.75" customHeight="1" x14ac:dyDescent="0.35">
      <c r="A37" s="48"/>
      <c r="B37" s="48"/>
      <c r="C37" s="48"/>
      <c r="D37" s="48"/>
      <c r="E37" s="48"/>
      <c r="F37" s="48"/>
      <c r="G37" s="48"/>
      <c r="H37" s="48"/>
      <c r="I37" s="48"/>
      <c r="J37" s="48"/>
      <c r="K37" s="48"/>
      <c r="L37" s="48"/>
      <c r="M37" s="48"/>
      <c r="N37" s="48"/>
      <c r="O37" s="48"/>
      <c r="P37" s="48"/>
      <c r="Q37" s="48"/>
      <c r="R37" s="48"/>
      <c r="S37" s="48"/>
      <c r="T37" s="48"/>
      <c r="U37" s="48"/>
      <c r="V37" s="48"/>
      <c r="W37" s="48"/>
      <c r="X37" s="48"/>
    </row>
    <row r="38" spans="1:24" ht="15.75" customHeight="1" x14ac:dyDescent="0.35">
      <c r="A38" s="48"/>
      <c r="B38" s="48"/>
      <c r="C38" s="48"/>
      <c r="D38" s="48"/>
      <c r="E38" s="48"/>
      <c r="F38" s="48"/>
      <c r="G38" s="48"/>
      <c r="H38" s="48"/>
      <c r="I38" s="48"/>
      <c r="J38" s="48"/>
      <c r="K38" s="48"/>
      <c r="L38" s="48"/>
      <c r="M38" s="48"/>
      <c r="N38" s="48"/>
      <c r="O38" s="48"/>
      <c r="P38" s="48"/>
      <c r="Q38" s="48"/>
      <c r="R38" s="48"/>
      <c r="S38" s="48"/>
      <c r="T38" s="48"/>
      <c r="U38" s="48"/>
      <c r="V38" s="48"/>
      <c r="W38" s="48"/>
      <c r="X38" s="48"/>
    </row>
    <row r="39" spans="1:24" ht="15.75" customHeight="1" x14ac:dyDescent="0.35">
      <c r="A39" s="48"/>
      <c r="B39" s="48"/>
      <c r="C39" s="48"/>
      <c r="D39" s="48"/>
      <c r="E39" s="48"/>
      <c r="F39" s="48"/>
      <c r="G39" s="48"/>
      <c r="H39" s="48"/>
      <c r="I39" s="48"/>
      <c r="J39" s="48"/>
      <c r="K39" s="48"/>
      <c r="L39" s="48"/>
      <c r="M39" s="48"/>
      <c r="N39" s="48"/>
      <c r="O39" s="48"/>
      <c r="P39" s="48"/>
      <c r="Q39" s="48"/>
      <c r="R39" s="48"/>
      <c r="S39" s="48"/>
      <c r="T39" s="48"/>
      <c r="U39" s="48"/>
      <c r="V39" s="48"/>
      <c r="W39" s="48"/>
      <c r="X39" s="48"/>
    </row>
    <row r="40" spans="1:24" ht="15.75" customHeight="1" x14ac:dyDescent="0.35">
      <c r="A40" s="48"/>
      <c r="B40" s="48"/>
      <c r="C40" s="48"/>
      <c r="D40" s="48"/>
      <c r="E40" s="48"/>
      <c r="F40" s="48"/>
      <c r="G40" s="48"/>
      <c r="H40" s="48"/>
      <c r="I40" s="48"/>
      <c r="J40" s="48"/>
      <c r="K40" s="48"/>
      <c r="L40" s="48"/>
      <c r="M40" s="48"/>
      <c r="N40" s="48"/>
      <c r="O40" s="48"/>
      <c r="P40" s="48"/>
      <c r="Q40" s="48"/>
      <c r="R40" s="48"/>
      <c r="S40" s="48"/>
      <c r="T40" s="48"/>
      <c r="U40" s="48"/>
      <c r="V40" s="48"/>
      <c r="W40" s="48"/>
      <c r="X40" s="48"/>
    </row>
    <row r="41" spans="1:24" ht="15.75" customHeight="1" x14ac:dyDescent="0.35">
      <c r="A41" s="48"/>
      <c r="B41" s="48"/>
      <c r="C41" s="48"/>
      <c r="D41" s="48"/>
      <c r="E41" s="48"/>
      <c r="F41" s="48"/>
      <c r="G41" s="48"/>
      <c r="H41" s="48"/>
      <c r="I41" s="48"/>
      <c r="J41" s="48"/>
      <c r="K41" s="48"/>
      <c r="L41" s="48"/>
      <c r="M41" s="48"/>
      <c r="N41" s="48"/>
      <c r="O41" s="48"/>
      <c r="P41" s="48"/>
      <c r="Q41" s="48"/>
      <c r="R41" s="48"/>
      <c r="S41" s="48"/>
      <c r="T41" s="48"/>
      <c r="U41" s="48"/>
      <c r="V41" s="48"/>
      <c r="W41" s="48"/>
      <c r="X41" s="48"/>
    </row>
    <row r="42" spans="1:24" ht="15.75" customHeight="1" x14ac:dyDescent="0.35">
      <c r="A42" s="48"/>
      <c r="B42" s="48"/>
      <c r="C42" s="48"/>
      <c r="D42" s="48"/>
      <c r="E42" s="48"/>
      <c r="F42" s="48"/>
      <c r="G42" s="48"/>
      <c r="H42" s="48"/>
      <c r="I42" s="48"/>
      <c r="J42" s="48"/>
      <c r="K42" s="48"/>
      <c r="L42" s="48"/>
      <c r="M42" s="48"/>
      <c r="N42" s="48"/>
      <c r="O42" s="48"/>
      <c r="P42" s="48"/>
      <c r="Q42" s="48"/>
      <c r="R42" s="48"/>
      <c r="S42" s="48"/>
      <c r="T42" s="48"/>
      <c r="U42" s="48"/>
      <c r="V42" s="48"/>
      <c r="W42" s="48"/>
      <c r="X42" s="48"/>
    </row>
    <row r="43" spans="1:24" ht="15.75" customHeight="1" x14ac:dyDescent="0.35">
      <c r="A43" s="48"/>
      <c r="B43" s="48"/>
      <c r="C43" s="48"/>
      <c r="D43" s="48"/>
      <c r="E43" s="48"/>
      <c r="F43" s="48"/>
      <c r="G43" s="48"/>
      <c r="H43" s="48"/>
      <c r="I43" s="48"/>
      <c r="J43" s="48"/>
      <c r="K43" s="48"/>
      <c r="L43" s="48"/>
      <c r="M43" s="48"/>
      <c r="N43" s="48"/>
      <c r="O43" s="48"/>
      <c r="P43" s="48"/>
      <c r="Q43" s="48"/>
      <c r="R43" s="48"/>
      <c r="S43" s="48"/>
      <c r="T43" s="48"/>
      <c r="U43" s="48"/>
      <c r="V43" s="48"/>
      <c r="W43" s="48"/>
      <c r="X43" s="48"/>
    </row>
    <row r="44" spans="1:24" ht="15.75" customHeight="1" x14ac:dyDescent="0.35">
      <c r="A44" s="48"/>
      <c r="B44" s="48"/>
      <c r="C44" s="48"/>
      <c r="D44" s="48"/>
      <c r="E44" s="48"/>
      <c r="F44" s="48"/>
      <c r="G44" s="48"/>
      <c r="H44" s="48"/>
      <c r="I44" s="48"/>
      <c r="J44" s="48"/>
      <c r="K44" s="48"/>
      <c r="L44" s="48"/>
      <c r="M44" s="48"/>
      <c r="N44" s="48"/>
      <c r="O44" s="48"/>
      <c r="P44" s="48"/>
      <c r="Q44" s="48"/>
      <c r="R44" s="48"/>
      <c r="S44" s="48"/>
      <c r="T44" s="48"/>
      <c r="U44" s="48"/>
      <c r="V44" s="48"/>
      <c r="W44" s="48"/>
      <c r="X44" s="48"/>
    </row>
    <row r="45" spans="1:24" ht="15.75" customHeight="1" x14ac:dyDescent="0.35">
      <c r="A45" s="48"/>
      <c r="B45" s="48"/>
      <c r="C45" s="48"/>
      <c r="D45" s="48"/>
      <c r="E45" s="48"/>
      <c r="F45" s="48"/>
      <c r="G45" s="48"/>
      <c r="H45" s="48"/>
      <c r="I45" s="48"/>
      <c r="J45" s="48"/>
      <c r="K45" s="48"/>
      <c r="L45" s="48"/>
      <c r="M45" s="48"/>
      <c r="N45" s="48"/>
      <c r="O45" s="48"/>
      <c r="P45" s="48"/>
      <c r="Q45" s="48"/>
      <c r="R45" s="48"/>
      <c r="S45" s="48"/>
      <c r="T45" s="48"/>
      <c r="U45" s="48"/>
      <c r="V45" s="48"/>
      <c r="W45" s="48"/>
      <c r="X45" s="48"/>
    </row>
    <row r="46" spans="1:24" ht="15.75" customHeight="1" x14ac:dyDescent="0.35">
      <c r="A46" s="48"/>
      <c r="B46" s="48"/>
      <c r="C46" s="48"/>
      <c r="D46" s="48"/>
      <c r="E46" s="48"/>
      <c r="F46" s="48"/>
      <c r="G46" s="48"/>
      <c r="H46" s="48"/>
      <c r="I46" s="48"/>
      <c r="J46" s="48"/>
      <c r="K46" s="48"/>
      <c r="L46" s="48"/>
      <c r="M46" s="48"/>
      <c r="N46" s="48"/>
      <c r="O46" s="48"/>
      <c r="P46" s="48"/>
      <c r="Q46" s="48"/>
      <c r="R46" s="48"/>
      <c r="S46" s="48"/>
      <c r="T46" s="48"/>
      <c r="U46" s="48"/>
      <c r="V46" s="48"/>
      <c r="W46" s="48"/>
      <c r="X46" s="48"/>
    </row>
    <row r="47" spans="1:24" ht="15.75" customHeight="1" x14ac:dyDescent="0.35">
      <c r="A47" s="48"/>
      <c r="B47" s="48"/>
      <c r="C47" s="48"/>
      <c r="D47" s="48"/>
      <c r="E47" s="48"/>
      <c r="F47" s="48"/>
      <c r="G47" s="48"/>
      <c r="H47" s="48"/>
      <c r="I47" s="48"/>
      <c r="J47" s="48"/>
      <c r="K47" s="48"/>
      <c r="L47" s="48"/>
      <c r="M47" s="48"/>
      <c r="N47" s="48"/>
      <c r="O47" s="48"/>
      <c r="P47" s="48"/>
      <c r="Q47" s="48"/>
      <c r="R47" s="48"/>
      <c r="S47" s="48"/>
      <c r="T47" s="48"/>
      <c r="U47" s="48"/>
      <c r="V47" s="48"/>
      <c r="W47" s="48"/>
      <c r="X47" s="48"/>
    </row>
    <row r="48" spans="1:24" ht="15.75" customHeight="1" x14ac:dyDescent="0.35">
      <c r="A48" s="48"/>
      <c r="B48" s="48"/>
      <c r="C48" s="48"/>
      <c r="D48" s="48"/>
      <c r="E48" s="48"/>
      <c r="F48" s="48"/>
      <c r="G48" s="48"/>
      <c r="H48" s="48"/>
      <c r="I48" s="48"/>
      <c r="J48" s="48"/>
      <c r="K48" s="48"/>
      <c r="L48" s="48"/>
      <c r="M48" s="48"/>
      <c r="N48" s="48"/>
      <c r="O48" s="48"/>
      <c r="P48" s="48"/>
      <c r="Q48" s="48"/>
      <c r="R48" s="48"/>
      <c r="S48" s="48"/>
      <c r="T48" s="48"/>
      <c r="U48" s="48"/>
      <c r="V48" s="48"/>
      <c r="W48" s="48"/>
      <c r="X48" s="48"/>
    </row>
    <row r="49" spans="1:24" ht="15.75" customHeight="1" x14ac:dyDescent="0.35">
      <c r="A49" s="48"/>
      <c r="B49" s="48"/>
      <c r="C49" s="48"/>
      <c r="D49" s="48"/>
      <c r="E49" s="48"/>
      <c r="F49" s="48"/>
      <c r="G49" s="48"/>
      <c r="H49" s="48"/>
      <c r="I49" s="48"/>
      <c r="J49" s="48"/>
      <c r="K49" s="48"/>
      <c r="L49" s="48"/>
      <c r="M49" s="48"/>
      <c r="N49" s="48"/>
      <c r="O49" s="48"/>
      <c r="P49" s="48"/>
      <c r="Q49" s="48"/>
      <c r="R49" s="48"/>
      <c r="S49" s="48"/>
      <c r="T49" s="48"/>
      <c r="U49" s="48"/>
      <c r="V49" s="48"/>
      <c r="W49" s="48"/>
      <c r="X49" s="48"/>
    </row>
    <row r="50" spans="1:24" ht="15.75" customHeight="1" x14ac:dyDescent="0.35">
      <c r="A50" s="48"/>
      <c r="B50" s="48"/>
      <c r="C50" s="48"/>
      <c r="D50" s="48"/>
      <c r="E50" s="48"/>
      <c r="F50" s="48"/>
      <c r="G50" s="48"/>
      <c r="H50" s="48"/>
      <c r="I50" s="48"/>
      <c r="J50" s="48"/>
      <c r="K50" s="48"/>
      <c r="L50" s="48"/>
      <c r="M50" s="48"/>
      <c r="N50" s="48"/>
      <c r="O50" s="48"/>
      <c r="P50" s="48"/>
      <c r="Q50" s="48"/>
      <c r="R50" s="48"/>
      <c r="S50" s="48"/>
      <c r="T50" s="48"/>
      <c r="U50" s="48"/>
      <c r="V50" s="48"/>
      <c r="W50" s="48"/>
      <c r="X50" s="48"/>
    </row>
    <row r="51" spans="1:24" ht="15.75" customHeight="1" x14ac:dyDescent="0.35">
      <c r="A51" s="48"/>
      <c r="B51" s="48"/>
      <c r="C51" s="48"/>
      <c r="D51" s="48"/>
      <c r="E51" s="48"/>
      <c r="F51" s="48"/>
      <c r="G51" s="48"/>
      <c r="H51" s="48"/>
      <c r="I51" s="48"/>
      <c r="J51" s="48"/>
      <c r="K51" s="48"/>
      <c r="L51" s="48"/>
      <c r="M51" s="48"/>
      <c r="N51" s="48"/>
      <c r="O51" s="48"/>
      <c r="P51" s="48"/>
      <c r="Q51" s="48"/>
      <c r="R51" s="48"/>
      <c r="S51" s="48"/>
      <c r="T51" s="48"/>
      <c r="U51" s="48"/>
      <c r="V51" s="48"/>
      <c r="W51" s="48"/>
      <c r="X51" s="48"/>
    </row>
    <row r="52" spans="1:24" ht="15.75" customHeight="1" x14ac:dyDescent="0.35">
      <c r="A52" s="48"/>
      <c r="B52" s="48"/>
      <c r="C52" s="48"/>
      <c r="D52" s="48"/>
      <c r="E52" s="48"/>
      <c r="F52" s="48"/>
      <c r="G52" s="48"/>
      <c r="H52" s="48"/>
      <c r="I52" s="48"/>
      <c r="J52" s="48"/>
      <c r="K52" s="48"/>
      <c r="L52" s="48"/>
      <c r="M52" s="48"/>
      <c r="N52" s="48"/>
      <c r="O52" s="48"/>
      <c r="P52" s="48"/>
      <c r="Q52" s="48"/>
      <c r="R52" s="48"/>
      <c r="S52" s="48"/>
      <c r="T52" s="48"/>
      <c r="U52" s="48"/>
      <c r="V52" s="48"/>
      <c r="W52" s="48"/>
      <c r="X52" s="48"/>
    </row>
    <row r="53" spans="1:24" ht="15.75" customHeight="1" x14ac:dyDescent="0.35">
      <c r="A53" s="48"/>
      <c r="B53" s="48"/>
      <c r="C53" s="48"/>
      <c r="D53" s="48"/>
      <c r="E53" s="48"/>
      <c r="F53" s="48"/>
      <c r="G53" s="48"/>
      <c r="H53" s="48"/>
      <c r="I53" s="48"/>
      <c r="J53" s="48"/>
      <c r="K53" s="48"/>
      <c r="L53" s="48"/>
      <c r="M53" s="48"/>
      <c r="N53" s="48"/>
      <c r="O53" s="48"/>
      <c r="P53" s="48"/>
      <c r="Q53" s="48"/>
      <c r="R53" s="48"/>
      <c r="S53" s="48"/>
      <c r="T53" s="48"/>
      <c r="U53" s="48"/>
      <c r="V53" s="48"/>
      <c r="W53" s="48"/>
      <c r="X53" s="48"/>
    </row>
    <row r="54" spans="1:24" ht="15.75" customHeight="1" x14ac:dyDescent="0.35">
      <c r="A54" s="48"/>
      <c r="B54" s="48"/>
      <c r="C54" s="48"/>
      <c r="D54" s="48"/>
      <c r="E54" s="48"/>
      <c r="F54" s="48"/>
      <c r="G54" s="48"/>
      <c r="H54" s="48"/>
      <c r="I54" s="48"/>
      <c r="J54" s="48"/>
      <c r="K54" s="48"/>
      <c r="L54" s="48"/>
      <c r="M54" s="48"/>
      <c r="N54" s="48"/>
      <c r="O54" s="48"/>
      <c r="P54" s="48"/>
      <c r="Q54" s="48"/>
      <c r="R54" s="48"/>
      <c r="S54" s="48"/>
      <c r="T54" s="48"/>
      <c r="U54" s="48"/>
      <c r="V54" s="48"/>
      <c r="W54" s="48"/>
      <c r="X54" s="48"/>
    </row>
    <row r="55" spans="1:24" ht="15.75" customHeight="1" x14ac:dyDescent="0.35">
      <c r="A55" s="48"/>
      <c r="B55" s="48"/>
      <c r="C55" s="48"/>
      <c r="D55" s="48"/>
      <c r="E55" s="48"/>
      <c r="F55" s="48"/>
      <c r="G55" s="48"/>
      <c r="H55" s="48"/>
      <c r="I55" s="48"/>
      <c r="J55" s="48"/>
      <c r="K55" s="48"/>
      <c r="L55" s="48"/>
      <c r="M55" s="48"/>
      <c r="N55" s="48"/>
      <c r="O55" s="48"/>
      <c r="P55" s="48"/>
      <c r="Q55" s="48"/>
      <c r="R55" s="48"/>
      <c r="S55" s="48"/>
      <c r="T55" s="48"/>
      <c r="U55" s="48"/>
      <c r="V55" s="48"/>
      <c r="W55" s="48"/>
      <c r="X55" s="48"/>
    </row>
    <row r="56" spans="1:24" ht="15.75" customHeight="1" x14ac:dyDescent="0.35">
      <c r="A56" s="48"/>
      <c r="B56" s="48"/>
      <c r="C56" s="48"/>
      <c r="D56" s="48"/>
      <c r="E56" s="48"/>
      <c r="F56" s="48"/>
      <c r="G56" s="48"/>
      <c r="H56" s="48"/>
      <c r="I56" s="48"/>
      <c r="J56" s="48"/>
      <c r="K56" s="48"/>
      <c r="L56" s="48"/>
      <c r="M56" s="48"/>
      <c r="N56" s="48"/>
      <c r="O56" s="48"/>
      <c r="P56" s="48"/>
      <c r="Q56" s="48"/>
      <c r="R56" s="48"/>
      <c r="S56" s="48"/>
      <c r="T56" s="48"/>
      <c r="U56" s="48"/>
      <c r="V56" s="48"/>
      <c r="W56" s="48"/>
      <c r="X56" s="48"/>
    </row>
    <row r="57" spans="1:24" ht="15.75" customHeight="1" x14ac:dyDescent="0.35">
      <c r="A57" s="48"/>
      <c r="B57" s="48"/>
      <c r="C57" s="48"/>
      <c r="D57" s="48"/>
      <c r="E57" s="48"/>
      <c r="F57" s="48"/>
      <c r="G57" s="48"/>
      <c r="H57" s="48"/>
      <c r="I57" s="48"/>
      <c r="J57" s="48"/>
      <c r="K57" s="48"/>
      <c r="L57" s="48"/>
      <c r="M57" s="48"/>
      <c r="N57" s="48"/>
      <c r="O57" s="48"/>
      <c r="P57" s="48"/>
      <c r="Q57" s="48"/>
      <c r="R57" s="48"/>
      <c r="S57" s="48"/>
      <c r="T57" s="48"/>
      <c r="U57" s="48"/>
      <c r="V57" s="48"/>
      <c r="W57" s="48"/>
      <c r="X57" s="48"/>
    </row>
    <row r="58" spans="1:24" ht="15.75" customHeight="1" x14ac:dyDescent="0.35">
      <c r="A58" s="48"/>
      <c r="B58" s="48"/>
      <c r="C58" s="48"/>
      <c r="D58" s="48"/>
      <c r="E58" s="48"/>
      <c r="F58" s="48"/>
      <c r="G58" s="48"/>
      <c r="H58" s="48"/>
      <c r="I58" s="48"/>
      <c r="J58" s="48"/>
      <c r="K58" s="48"/>
      <c r="L58" s="48"/>
      <c r="M58" s="48"/>
      <c r="N58" s="48"/>
      <c r="O58" s="48"/>
      <c r="P58" s="48"/>
      <c r="Q58" s="48"/>
      <c r="R58" s="48"/>
      <c r="S58" s="48"/>
      <c r="T58" s="48"/>
      <c r="U58" s="48"/>
      <c r="V58" s="48"/>
      <c r="W58" s="48"/>
      <c r="X58" s="48"/>
    </row>
    <row r="59" spans="1:24" ht="15.75" customHeight="1" x14ac:dyDescent="0.35">
      <c r="A59" s="48"/>
      <c r="B59" s="48"/>
      <c r="C59" s="48"/>
      <c r="D59" s="48"/>
      <c r="E59" s="48"/>
      <c r="F59" s="48"/>
      <c r="G59" s="48"/>
      <c r="H59" s="48"/>
      <c r="I59" s="48"/>
      <c r="J59" s="48"/>
      <c r="K59" s="48"/>
      <c r="L59" s="48"/>
      <c r="M59" s="48"/>
      <c r="N59" s="48"/>
      <c r="O59" s="48"/>
      <c r="P59" s="48"/>
      <c r="Q59" s="48"/>
      <c r="R59" s="48"/>
      <c r="S59" s="48"/>
      <c r="T59" s="48"/>
      <c r="U59" s="48"/>
      <c r="V59" s="48"/>
      <c r="W59" s="48"/>
      <c r="X59" s="48"/>
    </row>
    <row r="60" spans="1:24" ht="15.75" customHeight="1" x14ac:dyDescent="0.35">
      <c r="A60" s="48"/>
      <c r="B60" s="48"/>
      <c r="C60" s="48"/>
      <c r="D60" s="48"/>
      <c r="E60" s="48"/>
      <c r="F60" s="48"/>
      <c r="G60" s="48"/>
      <c r="H60" s="48"/>
      <c r="I60" s="48"/>
      <c r="J60" s="48"/>
      <c r="K60" s="48"/>
      <c r="L60" s="48"/>
      <c r="M60" s="48"/>
      <c r="N60" s="48"/>
      <c r="O60" s="48"/>
      <c r="P60" s="48"/>
      <c r="Q60" s="48"/>
      <c r="R60" s="48"/>
      <c r="S60" s="48"/>
      <c r="T60" s="48"/>
      <c r="U60" s="48"/>
      <c r="V60" s="48"/>
      <c r="W60" s="48"/>
      <c r="X60" s="48"/>
    </row>
    <row r="61" spans="1:24" ht="15.75" customHeight="1" x14ac:dyDescent="0.35">
      <c r="A61" s="48"/>
      <c r="B61" s="48"/>
      <c r="C61" s="48"/>
      <c r="D61" s="48"/>
      <c r="E61" s="48"/>
      <c r="F61" s="48"/>
      <c r="G61" s="48"/>
      <c r="H61" s="48"/>
      <c r="I61" s="48"/>
      <c r="J61" s="48"/>
      <c r="K61" s="48"/>
      <c r="L61" s="48"/>
      <c r="M61" s="48"/>
      <c r="N61" s="48"/>
      <c r="O61" s="48"/>
      <c r="P61" s="48"/>
      <c r="Q61" s="48"/>
      <c r="R61" s="48"/>
      <c r="S61" s="48"/>
      <c r="T61" s="48"/>
      <c r="U61" s="48"/>
      <c r="V61" s="48"/>
      <c r="W61" s="48"/>
      <c r="X61" s="48"/>
    </row>
    <row r="62" spans="1:24" ht="15.75" customHeight="1" x14ac:dyDescent="0.35">
      <c r="A62" s="48"/>
      <c r="B62" s="48"/>
      <c r="C62" s="48"/>
      <c r="D62" s="48"/>
      <c r="E62" s="48"/>
      <c r="F62" s="48"/>
      <c r="G62" s="48"/>
      <c r="H62" s="48"/>
      <c r="I62" s="48"/>
      <c r="J62" s="48"/>
      <c r="K62" s="48"/>
      <c r="L62" s="48"/>
      <c r="M62" s="48"/>
      <c r="N62" s="48"/>
      <c r="O62" s="48"/>
      <c r="P62" s="48"/>
      <c r="Q62" s="48"/>
      <c r="R62" s="48"/>
      <c r="S62" s="48"/>
      <c r="T62" s="48"/>
      <c r="U62" s="48"/>
      <c r="V62" s="48"/>
      <c r="W62" s="48"/>
      <c r="X62" s="48"/>
    </row>
    <row r="63" spans="1:24" ht="15.75" customHeight="1" x14ac:dyDescent="0.35">
      <c r="A63" s="48"/>
      <c r="B63" s="48"/>
      <c r="C63" s="48"/>
      <c r="D63" s="48"/>
      <c r="E63" s="48"/>
      <c r="F63" s="48"/>
      <c r="G63" s="48"/>
      <c r="H63" s="48"/>
      <c r="I63" s="48"/>
      <c r="J63" s="48"/>
      <c r="K63" s="48"/>
      <c r="L63" s="48"/>
      <c r="M63" s="48"/>
      <c r="N63" s="48"/>
      <c r="O63" s="48"/>
      <c r="P63" s="48"/>
      <c r="Q63" s="48"/>
      <c r="R63" s="48"/>
      <c r="S63" s="48"/>
      <c r="T63" s="48"/>
      <c r="U63" s="48"/>
      <c r="V63" s="48"/>
      <c r="W63" s="48"/>
      <c r="X63" s="48"/>
    </row>
    <row r="64" spans="1:24" ht="15.75" customHeight="1" x14ac:dyDescent="0.35">
      <c r="A64" s="48"/>
      <c r="B64" s="48"/>
      <c r="C64" s="48"/>
      <c r="D64" s="48"/>
      <c r="E64" s="48"/>
      <c r="F64" s="48"/>
      <c r="G64" s="48"/>
      <c r="H64" s="48"/>
      <c r="I64" s="48"/>
      <c r="J64" s="48"/>
      <c r="K64" s="48"/>
      <c r="L64" s="48"/>
      <c r="M64" s="48"/>
      <c r="N64" s="48"/>
      <c r="O64" s="48"/>
      <c r="P64" s="48"/>
      <c r="Q64" s="48"/>
      <c r="R64" s="48"/>
      <c r="S64" s="48"/>
      <c r="T64" s="48"/>
      <c r="U64" s="48"/>
      <c r="V64" s="48"/>
      <c r="W64" s="48"/>
      <c r="X64" s="48"/>
    </row>
    <row r="65" spans="1:24" ht="15.75" customHeight="1" x14ac:dyDescent="0.35">
      <c r="A65" s="48"/>
      <c r="B65" s="48"/>
      <c r="C65" s="48"/>
      <c r="D65" s="48"/>
      <c r="E65" s="48"/>
      <c r="F65" s="48"/>
      <c r="G65" s="48"/>
      <c r="H65" s="48"/>
      <c r="I65" s="48"/>
      <c r="J65" s="48"/>
      <c r="K65" s="48"/>
      <c r="L65" s="48"/>
      <c r="M65" s="48"/>
      <c r="N65" s="48"/>
      <c r="O65" s="48"/>
      <c r="P65" s="48"/>
      <c r="Q65" s="48"/>
      <c r="R65" s="48"/>
      <c r="S65" s="48"/>
      <c r="T65" s="48"/>
      <c r="U65" s="48"/>
      <c r="V65" s="48"/>
      <c r="W65" s="48"/>
      <c r="X65" s="48"/>
    </row>
    <row r="66" spans="1:24" ht="15.75" customHeight="1" x14ac:dyDescent="0.35">
      <c r="A66" s="48"/>
      <c r="B66" s="48"/>
      <c r="C66" s="48"/>
      <c r="D66" s="48"/>
      <c r="E66" s="48"/>
      <c r="F66" s="48"/>
      <c r="G66" s="48"/>
      <c r="H66" s="48"/>
      <c r="I66" s="48"/>
      <c r="J66" s="48"/>
      <c r="K66" s="48"/>
      <c r="L66" s="48"/>
      <c r="M66" s="48"/>
      <c r="N66" s="48"/>
      <c r="O66" s="48"/>
      <c r="P66" s="48"/>
      <c r="Q66" s="48"/>
      <c r="R66" s="48"/>
      <c r="S66" s="48"/>
      <c r="T66" s="48"/>
      <c r="U66" s="48"/>
      <c r="V66" s="48"/>
      <c r="W66" s="48"/>
      <c r="X66" s="48"/>
    </row>
    <row r="67" spans="1:24" ht="15.75" customHeight="1" x14ac:dyDescent="0.35">
      <c r="A67" s="48"/>
      <c r="B67" s="48"/>
      <c r="C67" s="48"/>
      <c r="D67" s="48"/>
      <c r="E67" s="48"/>
      <c r="F67" s="48"/>
      <c r="G67" s="48"/>
      <c r="H67" s="48"/>
      <c r="I67" s="48"/>
      <c r="J67" s="48"/>
      <c r="K67" s="48"/>
      <c r="L67" s="48"/>
      <c r="M67" s="48"/>
      <c r="N67" s="48"/>
      <c r="O67" s="48"/>
      <c r="P67" s="48"/>
      <c r="Q67" s="48"/>
      <c r="R67" s="48"/>
      <c r="S67" s="48"/>
      <c r="T67" s="48"/>
      <c r="U67" s="48"/>
      <c r="V67" s="48"/>
      <c r="W67" s="48"/>
      <c r="X67" s="48"/>
    </row>
    <row r="68" spans="1:24" ht="15.75" customHeight="1" x14ac:dyDescent="0.35">
      <c r="A68" s="48"/>
      <c r="B68" s="48"/>
      <c r="C68" s="48"/>
      <c r="D68" s="48"/>
      <c r="E68" s="48"/>
      <c r="F68" s="48"/>
      <c r="G68" s="48"/>
      <c r="H68" s="48"/>
      <c r="I68" s="48"/>
      <c r="J68" s="48"/>
      <c r="K68" s="48"/>
      <c r="L68" s="48"/>
      <c r="M68" s="48"/>
      <c r="N68" s="48"/>
      <c r="O68" s="48"/>
      <c r="P68" s="48"/>
      <c r="Q68" s="48"/>
      <c r="R68" s="48"/>
      <c r="S68" s="48"/>
      <c r="T68" s="48"/>
      <c r="U68" s="48"/>
      <c r="V68" s="48"/>
      <c r="W68" s="48"/>
      <c r="X68" s="48"/>
    </row>
    <row r="69" spans="1:24" ht="15.75" customHeight="1" x14ac:dyDescent="0.35">
      <c r="A69" s="48"/>
      <c r="B69" s="48"/>
      <c r="C69" s="48"/>
      <c r="D69" s="48"/>
      <c r="E69" s="48"/>
      <c r="F69" s="48"/>
      <c r="G69" s="48"/>
      <c r="H69" s="48"/>
      <c r="I69" s="48"/>
      <c r="J69" s="48"/>
      <c r="K69" s="48"/>
      <c r="L69" s="48"/>
      <c r="M69" s="48"/>
      <c r="N69" s="48"/>
      <c r="O69" s="48"/>
      <c r="P69" s="48"/>
      <c r="Q69" s="48"/>
      <c r="R69" s="48"/>
      <c r="S69" s="48"/>
      <c r="T69" s="48"/>
      <c r="U69" s="48"/>
      <c r="V69" s="48"/>
      <c r="W69" s="48"/>
      <c r="X69" s="48"/>
    </row>
    <row r="70" spans="1:24" ht="15.75" customHeight="1" x14ac:dyDescent="0.35">
      <c r="A70" s="48"/>
      <c r="B70" s="48"/>
      <c r="C70" s="48"/>
      <c r="D70" s="48"/>
      <c r="E70" s="48"/>
      <c r="F70" s="48"/>
      <c r="G70" s="48"/>
      <c r="H70" s="48"/>
      <c r="I70" s="48"/>
      <c r="J70" s="48"/>
      <c r="K70" s="48"/>
      <c r="L70" s="48"/>
      <c r="M70" s="48"/>
      <c r="N70" s="48"/>
      <c r="O70" s="48"/>
      <c r="P70" s="48"/>
      <c r="Q70" s="48"/>
      <c r="R70" s="48"/>
      <c r="S70" s="48"/>
      <c r="T70" s="48"/>
      <c r="U70" s="48"/>
      <c r="V70" s="48"/>
      <c r="W70" s="48"/>
      <c r="X70" s="48"/>
    </row>
    <row r="71" spans="1:24" ht="15.75" customHeight="1" x14ac:dyDescent="0.35">
      <c r="A71" s="48"/>
      <c r="B71" s="48"/>
      <c r="C71" s="48"/>
      <c r="D71" s="48"/>
      <c r="E71" s="48"/>
      <c r="F71" s="48"/>
      <c r="G71" s="48"/>
      <c r="H71" s="48"/>
      <c r="I71" s="48"/>
      <c r="J71" s="48"/>
      <c r="K71" s="48"/>
      <c r="L71" s="48"/>
      <c r="M71" s="48"/>
      <c r="N71" s="48"/>
      <c r="O71" s="48"/>
      <c r="P71" s="48"/>
      <c r="Q71" s="48"/>
      <c r="R71" s="48"/>
      <c r="S71" s="48"/>
      <c r="T71" s="48"/>
      <c r="U71" s="48"/>
      <c r="V71" s="48"/>
      <c r="W71" s="48"/>
      <c r="X71" s="48"/>
    </row>
    <row r="72" spans="1:24" ht="15.75" customHeight="1" x14ac:dyDescent="0.35">
      <c r="A72" s="48"/>
      <c r="B72" s="48"/>
      <c r="C72" s="48"/>
      <c r="D72" s="48"/>
      <c r="E72" s="48"/>
      <c r="F72" s="48"/>
      <c r="G72" s="48"/>
      <c r="H72" s="48"/>
      <c r="I72" s="48"/>
      <c r="J72" s="48"/>
      <c r="K72" s="48"/>
      <c r="L72" s="48"/>
      <c r="M72" s="48"/>
      <c r="N72" s="48"/>
      <c r="O72" s="48"/>
      <c r="P72" s="48"/>
      <c r="Q72" s="48"/>
      <c r="R72" s="48"/>
      <c r="S72" s="48"/>
      <c r="T72" s="48"/>
      <c r="U72" s="48"/>
      <c r="V72" s="48"/>
      <c r="W72" s="48"/>
      <c r="X72" s="48"/>
    </row>
    <row r="73" spans="1:24" ht="15.75" customHeight="1" x14ac:dyDescent="0.35">
      <c r="A73" s="48"/>
      <c r="B73" s="48"/>
      <c r="C73" s="48"/>
      <c r="D73" s="48"/>
      <c r="E73" s="48"/>
      <c r="F73" s="48"/>
      <c r="G73" s="48"/>
      <c r="H73" s="48"/>
      <c r="I73" s="48"/>
      <c r="J73" s="48"/>
      <c r="K73" s="48"/>
      <c r="L73" s="48"/>
      <c r="M73" s="48"/>
      <c r="N73" s="48"/>
      <c r="O73" s="48"/>
      <c r="P73" s="48"/>
      <c r="Q73" s="48"/>
      <c r="R73" s="48"/>
      <c r="S73" s="48"/>
      <c r="T73" s="48"/>
      <c r="U73" s="48"/>
      <c r="V73" s="48"/>
      <c r="W73" s="48"/>
      <c r="X73" s="48"/>
    </row>
    <row r="74" spans="1:24" ht="15.75" customHeight="1" x14ac:dyDescent="0.35">
      <c r="A74" s="48"/>
      <c r="B74" s="48"/>
      <c r="C74" s="48"/>
      <c r="D74" s="48"/>
      <c r="E74" s="48"/>
      <c r="F74" s="48"/>
      <c r="G74" s="48"/>
      <c r="H74" s="48"/>
      <c r="I74" s="48"/>
      <c r="J74" s="48"/>
      <c r="K74" s="48"/>
      <c r="L74" s="48"/>
      <c r="M74" s="48"/>
      <c r="N74" s="48"/>
      <c r="O74" s="48"/>
      <c r="P74" s="48"/>
      <c r="Q74" s="48"/>
      <c r="R74" s="48"/>
      <c r="S74" s="48"/>
      <c r="T74" s="48"/>
      <c r="U74" s="48"/>
      <c r="V74" s="48"/>
      <c r="W74" s="48"/>
      <c r="X74" s="48"/>
    </row>
    <row r="75" spans="1:24" ht="15.75" customHeight="1" x14ac:dyDescent="0.35">
      <c r="A75" s="48"/>
      <c r="B75" s="48"/>
      <c r="C75" s="48"/>
      <c r="D75" s="48"/>
      <c r="E75" s="48"/>
      <c r="F75" s="48"/>
      <c r="G75" s="48"/>
      <c r="H75" s="48"/>
      <c r="I75" s="48"/>
      <c r="J75" s="48"/>
      <c r="K75" s="48"/>
      <c r="L75" s="48"/>
      <c r="M75" s="48"/>
      <c r="N75" s="48"/>
      <c r="O75" s="48"/>
      <c r="P75" s="48"/>
      <c r="Q75" s="48"/>
      <c r="R75" s="48"/>
      <c r="S75" s="48"/>
      <c r="T75" s="48"/>
      <c r="U75" s="48"/>
      <c r="V75" s="48"/>
      <c r="W75" s="48"/>
      <c r="X75" s="48"/>
    </row>
    <row r="76" spans="1:24" ht="15.75" customHeight="1" x14ac:dyDescent="0.35">
      <c r="A76" s="48"/>
      <c r="B76" s="48"/>
      <c r="C76" s="48"/>
      <c r="D76" s="48"/>
      <c r="E76" s="48"/>
      <c r="F76" s="48"/>
      <c r="G76" s="48"/>
      <c r="H76" s="48"/>
      <c r="I76" s="48"/>
      <c r="J76" s="48"/>
      <c r="K76" s="48"/>
      <c r="L76" s="48"/>
      <c r="M76" s="48"/>
      <c r="N76" s="48"/>
      <c r="O76" s="48"/>
      <c r="P76" s="48"/>
      <c r="Q76" s="48"/>
      <c r="R76" s="48"/>
      <c r="S76" s="48"/>
      <c r="T76" s="48"/>
      <c r="U76" s="48"/>
      <c r="V76" s="48"/>
      <c r="W76" s="48"/>
      <c r="X76" s="48"/>
    </row>
    <row r="77" spans="1:24" ht="15.75" customHeight="1" x14ac:dyDescent="0.35">
      <c r="A77" s="48"/>
      <c r="B77" s="48"/>
      <c r="C77" s="48"/>
      <c r="D77" s="48"/>
      <c r="E77" s="48"/>
      <c r="F77" s="48"/>
      <c r="G77" s="48"/>
      <c r="H77" s="48"/>
      <c r="I77" s="48"/>
      <c r="J77" s="48"/>
      <c r="K77" s="48"/>
      <c r="L77" s="48"/>
      <c r="M77" s="48"/>
      <c r="N77" s="48"/>
      <c r="O77" s="48"/>
      <c r="P77" s="48"/>
      <c r="Q77" s="48"/>
      <c r="R77" s="48"/>
      <c r="S77" s="48"/>
      <c r="T77" s="48"/>
      <c r="U77" s="48"/>
      <c r="V77" s="48"/>
      <c r="W77" s="48"/>
      <c r="X77" s="48"/>
    </row>
    <row r="78" spans="1:24" ht="15.75" customHeight="1" x14ac:dyDescent="0.35">
      <c r="A78" s="48"/>
      <c r="B78" s="48"/>
      <c r="C78" s="48"/>
      <c r="D78" s="48"/>
      <c r="E78" s="48"/>
      <c r="F78" s="48"/>
      <c r="G78" s="48"/>
      <c r="H78" s="48"/>
      <c r="I78" s="48"/>
      <c r="J78" s="48"/>
      <c r="K78" s="48"/>
      <c r="L78" s="48"/>
      <c r="M78" s="48"/>
      <c r="N78" s="48"/>
      <c r="O78" s="48"/>
      <c r="P78" s="48"/>
      <c r="Q78" s="48"/>
      <c r="R78" s="48"/>
      <c r="S78" s="48"/>
      <c r="T78" s="48"/>
      <c r="U78" s="48"/>
      <c r="V78" s="48"/>
      <c r="W78" s="48"/>
      <c r="X78" s="48"/>
    </row>
    <row r="79" spans="1:24" ht="15.75" customHeight="1" x14ac:dyDescent="0.35">
      <c r="A79" s="48"/>
      <c r="B79" s="48"/>
      <c r="C79" s="48"/>
      <c r="D79" s="48"/>
      <c r="E79" s="48"/>
      <c r="F79" s="48"/>
      <c r="G79" s="48"/>
      <c r="H79" s="48"/>
      <c r="I79" s="48"/>
      <c r="J79" s="48"/>
      <c r="K79" s="48"/>
      <c r="L79" s="48"/>
      <c r="M79" s="48"/>
      <c r="N79" s="48"/>
      <c r="O79" s="48"/>
      <c r="P79" s="48"/>
      <c r="Q79" s="48"/>
      <c r="R79" s="48"/>
      <c r="S79" s="48"/>
      <c r="T79" s="48"/>
      <c r="U79" s="48"/>
      <c r="V79" s="48"/>
      <c r="W79" s="48"/>
      <c r="X79" s="48"/>
    </row>
    <row r="80" spans="1:24" ht="15.75" customHeight="1" x14ac:dyDescent="0.35">
      <c r="A80" s="48"/>
      <c r="B80" s="48"/>
      <c r="C80" s="48"/>
      <c r="D80" s="48"/>
      <c r="E80" s="48"/>
      <c r="F80" s="48"/>
      <c r="G80" s="48"/>
      <c r="H80" s="48"/>
      <c r="I80" s="48"/>
      <c r="J80" s="48"/>
      <c r="K80" s="48"/>
      <c r="L80" s="48"/>
      <c r="M80" s="48"/>
      <c r="N80" s="48"/>
      <c r="O80" s="48"/>
      <c r="P80" s="48"/>
      <c r="Q80" s="48"/>
      <c r="R80" s="48"/>
      <c r="S80" s="48"/>
      <c r="T80" s="48"/>
      <c r="U80" s="48"/>
      <c r="V80" s="48"/>
      <c r="W80" s="48"/>
      <c r="X80" s="48"/>
    </row>
    <row r="81" spans="1:24" ht="15.75" customHeight="1" x14ac:dyDescent="0.35">
      <c r="A81" s="48"/>
      <c r="B81" s="48"/>
      <c r="C81" s="48"/>
      <c r="D81" s="48"/>
      <c r="E81" s="48"/>
      <c r="F81" s="48"/>
      <c r="G81" s="48"/>
      <c r="H81" s="48"/>
      <c r="I81" s="48"/>
      <c r="J81" s="48"/>
      <c r="K81" s="48"/>
      <c r="L81" s="48"/>
      <c r="M81" s="48"/>
      <c r="N81" s="48"/>
      <c r="O81" s="48"/>
      <c r="P81" s="48"/>
      <c r="Q81" s="48"/>
      <c r="R81" s="48"/>
      <c r="S81" s="48"/>
      <c r="T81" s="48"/>
      <c r="U81" s="48"/>
      <c r="V81" s="48"/>
      <c r="W81" s="48"/>
      <c r="X81" s="48"/>
    </row>
    <row r="82" spans="1:24" ht="15.75" customHeight="1" x14ac:dyDescent="0.35">
      <c r="A82" s="48"/>
      <c r="B82" s="48"/>
      <c r="C82" s="48"/>
      <c r="D82" s="48"/>
      <c r="E82" s="48"/>
      <c r="F82" s="48"/>
      <c r="G82" s="48"/>
      <c r="H82" s="48"/>
      <c r="I82" s="48"/>
      <c r="J82" s="48"/>
      <c r="K82" s="48"/>
      <c r="L82" s="48"/>
      <c r="M82" s="48"/>
      <c r="N82" s="48"/>
      <c r="O82" s="48"/>
      <c r="P82" s="48"/>
      <c r="Q82" s="48"/>
      <c r="R82" s="48"/>
      <c r="S82" s="48"/>
      <c r="T82" s="48"/>
      <c r="U82" s="48"/>
      <c r="V82" s="48"/>
      <c r="W82" s="48"/>
      <c r="X82" s="48"/>
    </row>
    <row r="83" spans="1:24" ht="15.75" customHeight="1" x14ac:dyDescent="0.35">
      <c r="A83" s="48"/>
      <c r="B83" s="48"/>
      <c r="C83" s="48"/>
      <c r="D83" s="48"/>
      <c r="E83" s="48"/>
      <c r="F83" s="48"/>
      <c r="G83" s="48"/>
      <c r="H83" s="48"/>
      <c r="I83" s="48"/>
      <c r="J83" s="48"/>
      <c r="K83" s="48"/>
      <c r="L83" s="48"/>
      <c r="M83" s="48"/>
      <c r="N83" s="48"/>
      <c r="O83" s="48"/>
      <c r="P83" s="48"/>
      <c r="Q83" s="48"/>
      <c r="R83" s="48"/>
      <c r="S83" s="48"/>
      <c r="T83" s="48"/>
      <c r="U83" s="48"/>
      <c r="V83" s="48"/>
      <c r="W83" s="48"/>
      <c r="X83" s="48"/>
    </row>
    <row r="84" spans="1:24" ht="15.75" customHeight="1" x14ac:dyDescent="0.35">
      <c r="A84" s="48"/>
      <c r="B84" s="48"/>
      <c r="C84" s="48"/>
      <c r="D84" s="48"/>
      <c r="E84" s="48"/>
      <c r="F84" s="48"/>
      <c r="G84" s="48"/>
      <c r="H84" s="48"/>
      <c r="I84" s="48"/>
      <c r="J84" s="48"/>
      <c r="K84" s="48"/>
      <c r="L84" s="48"/>
      <c r="M84" s="48"/>
      <c r="N84" s="48"/>
      <c r="O84" s="48"/>
      <c r="P84" s="48"/>
      <c r="Q84" s="48"/>
      <c r="R84" s="48"/>
      <c r="S84" s="48"/>
      <c r="T84" s="48"/>
      <c r="U84" s="48"/>
      <c r="V84" s="48"/>
      <c r="W84" s="48"/>
      <c r="X84" s="48"/>
    </row>
    <row r="85" spans="1:24" ht="15.75" customHeight="1" x14ac:dyDescent="0.35">
      <c r="A85" s="48"/>
      <c r="B85" s="48"/>
      <c r="C85" s="48"/>
      <c r="D85" s="48"/>
      <c r="E85" s="48"/>
      <c r="F85" s="48"/>
      <c r="G85" s="48"/>
      <c r="H85" s="48"/>
      <c r="I85" s="48"/>
      <c r="J85" s="48"/>
      <c r="K85" s="48"/>
      <c r="L85" s="48"/>
      <c r="M85" s="48"/>
      <c r="N85" s="48"/>
      <c r="O85" s="48"/>
      <c r="P85" s="48"/>
      <c r="Q85" s="48"/>
      <c r="R85" s="48"/>
      <c r="S85" s="48"/>
      <c r="T85" s="48"/>
      <c r="U85" s="48"/>
      <c r="V85" s="48"/>
      <c r="W85" s="48"/>
      <c r="X85" s="48"/>
    </row>
    <row r="86" spans="1:24" ht="15.75" customHeight="1" x14ac:dyDescent="0.35">
      <c r="A86" s="48"/>
      <c r="B86" s="48"/>
      <c r="C86" s="48"/>
      <c r="D86" s="48"/>
      <c r="E86" s="48"/>
      <c r="F86" s="48"/>
      <c r="G86" s="48"/>
      <c r="H86" s="48"/>
      <c r="I86" s="48"/>
      <c r="J86" s="48"/>
      <c r="K86" s="48"/>
      <c r="L86" s="48"/>
      <c r="M86" s="48"/>
      <c r="N86" s="48"/>
      <c r="O86" s="48"/>
      <c r="P86" s="48"/>
      <c r="Q86" s="48"/>
      <c r="R86" s="48"/>
      <c r="S86" s="48"/>
      <c r="T86" s="48"/>
      <c r="U86" s="48"/>
      <c r="V86" s="48"/>
      <c r="W86" s="48"/>
      <c r="X86" s="48"/>
    </row>
    <row r="87" spans="1:24" ht="15.75" customHeight="1" x14ac:dyDescent="0.35">
      <c r="A87" s="48"/>
      <c r="B87" s="48"/>
      <c r="C87" s="48"/>
      <c r="D87" s="48"/>
      <c r="E87" s="48"/>
      <c r="F87" s="48"/>
      <c r="G87" s="48"/>
      <c r="H87" s="48"/>
      <c r="I87" s="48"/>
      <c r="J87" s="48"/>
      <c r="K87" s="48"/>
      <c r="L87" s="48"/>
      <c r="M87" s="48"/>
      <c r="N87" s="48"/>
      <c r="O87" s="48"/>
      <c r="P87" s="48"/>
      <c r="Q87" s="48"/>
      <c r="R87" s="48"/>
      <c r="S87" s="48"/>
      <c r="T87" s="48"/>
      <c r="U87" s="48"/>
      <c r="V87" s="48"/>
      <c r="W87" s="48"/>
      <c r="X87" s="48"/>
    </row>
    <row r="88" spans="1:24" ht="15.75" customHeight="1" x14ac:dyDescent="0.35">
      <c r="A88" s="48"/>
      <c r="B88" s="48"/>
      <c r="C88" s="48"/>
      <c r="D88" s="48"/>
      <c r="E88" s="48"/>
      <c r="F88" s="48"/>
      <c r="G88" s="48"/>
      <c r="H88" s="48"/>
      <c r="I88" s="48"/>
      <c r="J88" s="48"/>
      <c r="K88" s="48"/>
      <c r="L88" s="48"/>
      <c r="M88" s="48"/>
      <c r="N88" s="48"/>
      <c r="O88" s="48"/>
      <c r="P88" s="48"/>
      <c r="Q88" s="48"/>
      <c r="R88" s="48"/>
      <c r="S88" s="48"/>
      <c r="T88" s="48"/>
      <c r="U88" s="48"/>
      <c r="V88" s="48"/>
      <c r="W88" s="48"/>
      <c r="X88" s="48"/>
    </row>
    <row r="89" spans="1:24" ht="15.75" customHeight="1" x14ac:dyDescent="0.35">
      <c r="A89" s="48"/>
      <c r="B89" s="48"/>
      <c r="C89" s="48"/>
      <c r="D89" s="48"/>
      <c r="E89" s="48"/>
      <c r="F89" s="48"/>
      <c r="G89" s="48"/>
      <c r="H89" s="48"/>
      <c r="I89" s="48"/>
      <c r="J89" s="48"/>
      <c r="K89" s="48"/>
      <c r="L89" s="48"/>
      <c r="M89" s="48"/>
      <c r="N89" s="48"/>
      <c r="O89" s="48"/>
      <c r="P89" s="48"/>
      <c r="Q89" s="48"/>
      <c r="R89" s="48"/>
      <c r="S89" s="48"/>
      <c r="T89" s="48"/>
      <c r="U89" s="48"/>
      <c r="V89" s="48"/>
      <c r="W89" s="48"/>
      <c r="X89" s="48"/>
    </row>
    <row r="90" spans="1:24" ht="15.75" customHeight="1" x14ac:dyDescent="0.35">
      <c r="A90" s="48"/>
      <c r="B90" s="48"/>
      <c r="C90" s="48"/>
      <c r="D90" s="48"/>
      <c r="E90" s="48"/>
      <c r="F90" s="48"/>
      <c r="G90" s="48"/>
      <c r="H90" s="48"/>
      <c r="I90" s="48"/>
      <c r="J90" s="48"/>
      <c r="K90" s="48"/>
      <c r="L90" s="48"/>
      <c r="M90" s="48"/>
      <c r="N90" s="48"/>
      <c r="O90" s="48"/>
      <c r="P90" s="48"/>
      <c r="Q90" s="48"/>
      <c r="R90" s="48"/>
      <c r="S90" s="48"/>
      <c r="T90" s="48"/>
      <c r="U90" s="48"/>
      <c r="V90" s="48"/>
      <c r="W90" s="48"/>
      <c r="X90" s="48"/>
    </row>
    <row r="91" spans="1:24" ht="15.75" customHeight="1" x14ac:dyDescent="0.35">
      <c r="A91" s="48"/>
      <c r="B91" s="48"/>
      <c r="C91" s="48"/>
      <c r="D91" s="48"/>
      <c r="E91" s="48"/>
      <c r="F91" s="48"/>
      <c r="G91" s="48"/>
      <c r="H91" s="48"/>
      <c r="I91" s="48"/>
      <c r="J91" s="48"/>
      <c r="K91" s="48"/>
      <c r="L91" s="48"/>
      <c r="M91" s="48"/>
      <c r="N91" s="48"/>
      <c r="O91" s="48"/>
      <c r="P91" s="48"/>
      <c r="Q91" s="48"/>
      <c r="R91" s="48"/>
      <c r="S91" s="48"/>
      <c r="T91" s="48"/>
      <c r="U91" s="48"/>
      <c r="V91" s="48"/>
      <c r="W91" s="48"/>
      <c r="X91" s="48"/>
    </row>
    <row r="92" spans="1:24" ht="15.75" customHeight="1" x14ac:dyDescent="0.35">
      <c r="A92" s="48"/>
      <c r="B92" s="48"/>
      <c r="C92" s="48"/>
      <c r="D92" s="48"/>
      <c r="E92" s="48"/>
      <c r="F92" s="48"/>
      <c r="G92" s="48"/>
      <c r="H92" s="48"/>
      <c r="I92" s="48"/>
      <c r="J92" s="48"/>
      <c r="K92" s="48"/>
      <c r="L92" s="48"/>
      <c r="M92" s="48"/>
      <c r="N92" s="48"/>
      <c r="O92" s="48"/>
      <c r="P92" s="48"/>
      <c r="Q92" s="48"/>
      <c r="R92" s="48"/>
      <c r="S92" s="48"/>
      <c r="T92" s="48"/>
      <c r="U92" s="48"/>
      <c r="V92" s="48"/>
      <c r="W92" s="48"/>
      <c r="X92" s="48"/>
    </row>
    <row r="93" spans="1:24" ht="15.75" customHeight="1" x14ac:dyDescent="0.35">
      <c r="A93" s="48"/>
      <c r="B93" s="48"/>
      <c r="C93" s="48"/>
      <c r="D93" s="48"/>
      <c r="E93" s="48"/>
      <c r="F93" s="48"/>
      <c r="G93" s="48"/>
      <c r="H93" s="48"/>
      <c r="I93" s="48"/>
      <c r="J93" s="48"/>
      <c r="K93" s="48"/>
      <c r="L93" s="48"/>
      <c r="M93" s="48"/>
      <c r="N93" s="48"/>
      <c r="O93" s="48"/>
      <c r="P93" s="48"/>
      <c r="Q93" s="48"/>
      <c r="R93" s="48"/>
      <c r="S93" s="48"/>
      <c r="T93" s="48"/>
      <c r="U93" s="48"/>
      <c r="V93" s="48"/>
      <c r="W93" s="48"/>
      <c r="X93" s="48"/>
    </row>
    <row r="94" spans="1:24" ht="15.75" customHeight="1" x14ac:dyDescent="0.35">
      <c r="A94" s="48"/>
      <c r="B94" s="48"/>
      <c r="C94" s="48"/>
      <c r="D94" s="48"/>
      <c r="E94" s="48"/>
      <c r="F94" s="48"/>
      <c r="G94" s="48"/>
      <c r="H94" s="48"/>
      <c r="I94" s="48"/>
      <c r="J94" s="48"/>
      <c r="K94" s="48"/>
      <c r="L94" s="48"/>
      <c r="M94" s="48"/>
      <c r="N94" s="48"/>
      <c r="O94" s="48"/>
      <c r="P94" s="48"/>
      <c r="Q94" s="48"/>
      <c r="R94" s="48"/>
      <c r="S94" s="48"/>
      <c r="T94" s="48"/>
      <c r="U94" s="48"/>
      <c r="V94" s="48"/>
      <c r="W94" s="48"/>
      <c r="X94" s="48"/>
    </row>
    <row r="95" spans="1:24" ht="15.75" customHeight="1" x14ac:dyDescent="0.35">
      <c r="A95" s="48"/>
      <c r="B95" s="48"/>
      <c r="C95" s="48"/>
      <c r="D95" s="48"/>
      <c r="E95" s="48"/>
      <c r="F95" s="48"/>
      <c r="G95" s="48"/>
      <c r="H95" s="48"/>
      <c r="I95" s="48"/>
      <c r="J95" s="48"/>
      <c r="K95" s="48"/>
      <c r="L95" s="48"/>
      <c r="M95" s="48"/>
      <c r="N95" s="48"/>
      <c r="O95" s="48"/>
      <c r="P95" s="48"/>
      <c r="Q95" s="48"/>
      <c r="R95" s="48"/>
      <c r="S95" s="48"/>
      <c r="T95" s="48"/>
      <c r="U95" s="48"/>
      <c r="V95" s="48"/>
      <c r="W95" s="48"/>
      <c r="X95" s="48"/>
    </row>
    <row r="96" spans="1:24" ht="15.75" customHeight="1" x14ac:dyDescent="0.35">
      <c r="A96" s="48"/>
      <c r="B96" s="48"/>
      <c r="C96" s="48"/>
      <c r="D96" s="48"/>
      <c r="E96" s="48"/>
      <c r="F96" s="48"/>
      <c r="G96" s="48"/>
      <c r="H96" s="48"/>
      <c r="I96" s="48"/>
      <c r="J96" s="48"/>
      <c r="K96" s="48"/>
      <c r="L96" s="48"/>
      <c r="M96" s="48"/>
      <c r="N96" s="48"/>
      <c r="O96" s="48"/>
      <c r="P96" s="48"/>
      <c r="Q96" s="48"/>
      <c r="R96" s="48"/>
      <c r="S96" s="48"/>
      <c r="T96" s="48"/>
      <c r="U96" s="48"/>
      <c r="V96" s="48"/>
      <c r="W96" s="48"/>
      <c r="X96" s="48"/>
    </row>
    <row r="97" spans="1:24" ht="15.75" customHeight="1" x14ac:dyDescent="0.35">
      <c r="A97" s="48"/>
      <c r="B97" s="48"/>
      <c r="C97" s="48"/>
      <c r="D97" s="48"/>
      <c r="E97" s="48"/>
      <c r="F97" s="48"/>
      <c r="G97" s="48"/>
      <c r="H97" s="48"/>
      <c r="I97" s="48"/>
      <c r="J97" s="48"/>
      <c r="K97" s="48"/>
      <c r="L97" s="48"/>
      <c r="M97" s="48"/>
      <c r="N97" s="48"/>
      <c r="O97" s="48"/>
      <c r="P97" s="48"/>
      <c r="Q97" s="48"/>
      <c r="R97" s="48"/>
      <c r="S97" s="48"/>
      <c r="T97" s="48"/>
      <c r="U97" s="48"/>
      <c r="V97" s="48"/>
      <c r="W97" s="48"/>
      <c r="X97" s="48"/>
    </row>
    <row r="98" spans="1:24" ht="15.75" customHeight="1" x14ac:dyDescent="0.35">
      <c r="A98" s="48"/>
      <c r="B98" s="48"/>
      <c r="C98" s="48"/>
      <c r="D98" s="48"/>
      <c r="E98" s="48"/>
      <c r="F98" s="48"/>
      <c r="G98" s="48"/>
      <c r="H98" s="48"/>
      <c r="I98" s="48"/>
      <c r="J98" s="48"/>
      <c r="K98" s="48"/>
      <c r="L98" s="48"/>
      <c r="M98" s="48"/>
      <c r="N98" s="48"/>
      <c r="O98" s="48"/>
      <c r="P98" s="48"/>
      <c r="Q98" s="48"/>
      <c r="R98" s="48"/>
      <c r="S98" s="48"/>
      <c r="T98" s="48"/>
      <c r="U98" s="48"/>
      <c r="V98" s="48"/>
      <c r="W98" s="48"/>
      <c r="X98" s="48"/>
    </row>
    <row r="99" spans="1:24" ht="15.75" customHeight="1" x14ac:dyDescent="0.35">
      <c r="A99" s="48"/>
      <c r="B99" s="48"/>
      <c r="C99" s="48"/>
      <c r="D99" s="48"/>
      <c r="E99" s="48"/>
      <c r="F99" s="48"/>
      <c r="G99" s="48"/>
      <c r="H99" s="48"/>
      <c r="I99" s="48"/>
      <c r="J99" s="48"/>
      <c r="K99" s="48"/>
      <c r="L99" s="48"/>
      <c r="M99" s="48"/>
      <c r="N99" s="48"/>
      <c r="O99" s="48"/>
      <c r="P99" s="48"/>
      <c r="Q99" s="48"/>
      <c r="R99" s="48"/>
      <c r="S99" s="48"/>
      <c r="T99" s="48"/>
      <c r="U99" s="48"/>
      <c r="V99" s="48"/>
      <c r="W99" s="48"/>
      <c r="X99" s="48"/>
    </row>
    <row r="100" spans="1:24" ht="15.75" customHeight="1" x14ac:dyDescent="0.3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spans="1:24" ht="15.75" customHeight="1" x14ac:dyDescent="0.3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spans="1:24" ht="15.75" customHeight="1" x14ac:dyDescent="0.3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spans="1:24" ht="15.75" customHeight="1" x14ac:dyDescent="0.3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spans="1:24" ht="15.75" customHeight="1" x14ac:dyDescent="0.3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spans="1:24" ht="15.75" customHeight="1" x14ac:dyDescent="0.3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spans="1:24" ht="15.75" customHeight="1" x14ac:dyDescent="0.3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spans="1:24" ht="15.75" customHeight="1" x14ac:dyDescent="0.3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spans="1:24" ht="15.75" customHeight="1" x14ac:dyDescent="0.3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spans="1:24" ht="15.75" customHeight="1" x14ac:dyDescent="0.3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spans="1:24" ht="15.75" customHeight="1" x14ac:dyDescent="0.3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spans="1:24" ht="15.75" customHeight="1" x14ac:dyDescent="0.3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spans="1:24" ht="15.75" customHeight="1" x14ac:dyDescent="0.3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spans="1:24" ht="15.75" customHeight="1" x14ac:dyDescent="0.3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spans="1:24" ht="15.75" customHeight="1" x14ac:dyDescent="0.3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spans="1:24" ht="15.75" customHeight="1" x14ac:dyDescent="0.3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spans="1:24" ht="15.75" customHeight="1" x14ac:dyDescent="0.3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spans="1:24" ht="15.75" customHeight="1" x14ac:dyDescent="0.3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spans="1:24" ht="15.75" customHeight="1" x14ac:dyDescent="0.3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spans="1:24" ht="15.75" customHeight="1" x14ac:dyDescent="0.3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spans="1:24" ht="15.75" customHeight="1" x14ac:dyDescent="0.3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spans="1:24" ht="15.75" customHeight="1" x14ac:dyDescent="0.3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spans="1:24" ht="15.75" customHeight="1" x14ac:dyDescent="0.3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spans="1:24" ht="15.75" customHeight="1" x14ac:dyDescent="0.3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spans="1:24" ht="15.75" customHeight="1" x14ac:dyDescent="0.3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spans="1:24" ht="15.75" customHeight="1" x14ac:dyDescent="0.3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spans="1:24" ht="15.75" customHeight="1" x14ac:dyDescent="0.3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spans="1:24" ht="15.75" customHeight="1" x14ac:dyDescent="0.3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spans="1:24" ht="15.75" customHeight="1" x14ac:dyDescent="0.3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spans="1:24" ht="15.75" customHeight="1" x14ac:dyDescent="0.3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spans="1:24" ht="15.75" customHeight="1" x14ac:dyDescent="0.3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spans="1:24" ht="15.75" customHeight="1" x14ac:dyDescent="0.3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spans="1:24" ht="15.75" customHeight="1" x14ac:dyDescent="0.3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spans="1:24" ht="15.75" customHeight="1" x14ac:dyDescent="0.3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spans="1:24" ht="15.75" customHeight="1" x14ac:dyDescent="0.3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spans="1:24" ht="15.75" customHeight="1" x14ac:dyDescent="0.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spans="1:24" ht="15.75" customHeight="1" x14ac:dyDescent="0.3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spans="1:24" ht="15.75" customHeight="1" x14ac:dyDescent="0.3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spans="1:24" ht="15.75" customHeight="1" x14ac:dyDescent="0.3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spans="1:24" ht="15.75" customHeight="1" x14ac:dyDescent="0.3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spans="1:24" ht="15.75" customHeight="1" x14ac:dyDescent="0.3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spans="1:24" ht="15.75" customHeight="1" x14ac:dyDescent="0.3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spans="1:24" ht="15.75" customHeight="1" x14ac:dyDescent="0.3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spans="1:24" ht="15.75" customHeight="1" x14ac:dyDescent="0.3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spans="1:24" ht="15.75" customHeight="1" x14ac:dyDescent="0.3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spans="1:24" ht="15.75" customHeight="1" x14ac:dyDescent="0.3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spans="1:24" ht="15.75" customHeight="1" x14ac:dyDescent="0.3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spans="1:24" ht="15.75" customHeight="1" x14ac:dyDescent="0.3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spans="1:24" ht="15.75" customHeight="1" x14ac:dyDescent="0.3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spans="1:24" ht="15.75" customHeight="1" x14ac:dyDescent="0.3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spans="1:24" ht="15.75" customHeight="1" x14ac:dyDescent="0.3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spans="1:24" ht="15.75" customHeight="1" x14ac:dyDescent="0.3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spans="1:24" ht="15.75" customHeight="1" x14ac:dyDescent="0.3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spans="1:24" ht="15.75" customHeight="1" x14ac:dyDescent="0.3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spans="1:24" ht="15.75" customHeight="1" x14ac:dyDescent="0.3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spans="1:24" ht="15.75" customHeight="1" x14ac:dyDescent="0.3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spans="1:24" ht="15.75" customHeight="1" x14ac:dyDescent="0.3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spans="1:24" ht="15.75" customHeight="1" x14ac:dyDescent="0.3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spans="1:24" ht="15.75" customHeight="1" x14ac:dyDescent="0.3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spans="1:24" ht="15.75" customHeight="1" x14ac:dyDescent="0.3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spans="1:24" ht="15.75" customHeight="1" x14ac:dyDescent="0.3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spans="1:24" ht="15.75" customHeight="1" x14ac:dyDescent="0.3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spans="1:24" ht="15.75" customHeight="1" x14ac:dyDescent="0.3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spans="1:24" ht="15.75" customHeight="1" x14ac:dyDescent="0.3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spans="1:24" ht="15.75" customHeight="1" x14ac:dyDescent="0.3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spans="1:24" ht="15.75" customHeight="1" x14ac:dyDescent="0.3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spans="1:24" ht="15.75" customHeight="1" x14ac:dyDescent="0.3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spans="1:24" ht="15.75" customHeight="1" x14ac:dyDescent="0.3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spans="1:24" ht="15.75" customHeight="1" x14ac:dyDescent="0.3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spans="1:24" ht="15.75" customHeight="1" x14ac:dyDescent="0.3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spans="1:24" ht="15.75" customHeight="1" x14ac:dyDescent="0.3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spans="1:24" ht="15.75" customHeight="1" x14ac:dyDescent="0.3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spans="1:24" ht="15.75" customHeight="1" x14ac:dyDescent="0.3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spans="1:24" ht="15.75" customHeight="1" x14ac:dyDescent="0.3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spans="1:24" ht="15.75" customHeight="1" x14ac:dyDescent="0.3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spans="1:24" ht="15.75" customHeight="1" x14ac:dyDescent="0.3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spans="1:24" ht="15.75" customHeight="1" x14ac:dyDescent="0.3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spans="1:24" ht="15.75" customHeight="1" x14ac:dyDescent="0.3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spans="1:24" ht="15.75" customHeight="1" x14ac:dyDescent="0.3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spans="1:24" ht="15.75" customHeight="1" x14ac:dyDescent="0.3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spans="1:24" ht="15.75" customHeight="1" x14ac:dyDescent="0.3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spans="1:24" ht="15.75" customHeight="1" x14ac:dyDescent="0.3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spans="1:24" ht="15.75" customHeight="1" x14ac:dyDescent="0.3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spans="1:24" ht="15.75" customHeight="1" x14ac:dyDescent="0.3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spans="1:24" ht="15.75" customHeight="1" x14ac:dyDescent="0.3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spans="1:24" ht="15.75" customHeight="1" x14ac:dyDescent="0.3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spans="1:24" ht="15.75" customHeight="1" x14ac:dyDescent="0.3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spans="1:24" ht="15.75" customHeight="1" x14ac:dyDescent="0.3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spans="1:24" ht="15.75" customHeight="1" x14ac:dyDescent="0.3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spans="1:24" ht="15.75" customHeight="1" x14ac:dyDescent="0.3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spans="1:24" ht="15.75" customHeight="1" x14ac:dyDescent="0.3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spans="1:24" ht="15.75" customHeight="1" x14ac:dyDescent="0.3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spans="1:24" ht="15.75" customHeight="1" x14ac:dyDescent="0.3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spans="1:24" ht="15.75" customHeight="1" x14ac:dyDescent="0.3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spans="1:24" ht="15.75" customHeight="1" x14ac:dyDescent="0.3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spans="1:24" ht="15.75" customHeight="1" x14ac:dyDescent="0.3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spans="1:24" ht="15.75" customHeight="1" x14ac:dyDescent="0.3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spans="1:24" ht="15.75" customHeight="1" x14ac:dyDescent="0.3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spans="1:24" ht="15.75" customHeight="1" x14ac:dyDescent="0.3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spans="1:24" ht="15.75" customHeight="1" x14ac:dyDescent="0.3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spans="1:24" ht="15.75" customHeight="1" x14ac:dyDescent="0.3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spans="1:24" ht="15.75" customHeight="1" x14ac:dyDescent="0.3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spans="1:24" ht="15.75" customHeight="1" x14ac:dyDescent="0.3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spans="1:24" ht="15.75" customHeight="1" x14ac:dyDescent="0.3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spans="1:24" ht="15.75" customHeight="1" x14ac:dyDescent="0.3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spans="1:24" ht="15.75" customHeight="1" x14ac:dyDescent="0.3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spans="1:24" ht="15.75" customHeight="1" x14ac:dyDescent="0.3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spans="1:24" ht="15.75" customHeight="1" x14ac:dyDescent="0.3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spans="1:24" ht="15.75" customHeight="1" x14ac:dyDescent="0.3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spans="1:24" ht="15.75" customHeight="1" x14ac:dyDescent="0.3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spans="1:24" ht="15.75" customHeight="1" x14ac:dyDescent="0.3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spans="1:24" ht="15.75" customHeight="1" x14ac:dyDescent="0.3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spans="1:24" ht="15.75" customHeight="1" x14ac:dyDescent="0.3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spans="1:24" ht="15.75" customHeight="1" x14ac:dyDescent="0.3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spans="1:24" ht="15.75" customHeight="1" x14ac:dyDescent="0.3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spans="1:24" ht="15.75" customHeight="1" x14ac:dyDescent="0.3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spans="1:24" ht="15.75" customHeight="1" x14ac:dyDescent="0.3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spans="1:24" ht="15.75" customHeight="1" x14ac:dyDescent="0.3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spans="1:24" ht="15.75" customHeight="1" x14ac:dyDescent="0.3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spans="1:24" ht="15.75" customHeight="1" x14ac:dyDescent="0.3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spans="1:24" ht="15.75" customHeight="1" x14ac:dyDescent="0.35">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spans="1:24" ht="15.75" customHeight="1" x14ac:dyDescent="0.35">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spans="1:24" ht="15.75" customHeight="1" x14ac:dyDescent="0.35">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spans="1:24" ht="15.75" customHeight="1" x14ac:dyDescent="0.35">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spans="1:24" ht="15.75" customHeight="1" x14ac:dyDescent="0.35">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spans="1:24" ht="15.75" customHeight="1" x14ac:dyDescent="0.3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spans="1:24" ht="15.75" customHeight="1" x14ac:dyDescent="0.35">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spans="1:24" ht="15.75" customHeight="1" x14ac:dyDescent="0.35">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spans="1:24" ht="15.75" customHeight="1" x14ac:dyDescent="0.35">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spans="1:24" ht="15.75" customHeight="1" x14ac:dyDescent="0.35">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spans="1:24" ht="15.75" customHeight="1" x14ac:dyDescent="0.35">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spans="1:24" ht="15.75" customHeight="1" x14ac:dyDescent="0.35">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spans="1:24" ht="15.75" customHeight="1" x14ac:dyDescent="0.35">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spans="1:24" ht="15.75" customHeight="1" x14ac:dyDescent="0.35">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spans="1:24" ht="15.75" customHeight="1" x14ac:dyDescent="0.35">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spans="1:24" ht="15.75" customHeight="1" x14ac:dyDescent="0.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spans="1:24" ht="15.75" customHeight="1" x14ac:dyDescent="0.35">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spans="1:24" ht="15.75" customHeight="1" x14ac:dyDescent="0.35">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spans="1:24" ht="15.75" customHeight="1" x14ac:dyDescent="0.35">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spans="1:24" ht="15.75" customHeight="1" x14ac:dyDescent="0.35">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spans="1:24" ht="15.75" customHeight="1" x14ac:dyDescent="0.35">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spans="1:24" ht="15.75" customHeight="1" x14ac:dyDescent="0.35">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spans="1:24" ht="15.75" customHeight="1" x14ac:dyDescent="0.35">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spans="1:24" ht="15.75" customHeight="1" x14ac:dyDescent="0.35">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spans="1:24" ht="15.75" customHeight="1" x14ac:dyDescent="0.35">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spans="1:24" ht="15.75" customHeight="1" x14ac:dyDescent="0.3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spans="1:24" ht="15.75" customHeight="1" x14ac:dyDescent="0.35">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spans="1:24" ht="15.75" customHeight="1" x14ac:dyDescent="0.35">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spans="1:24" ht="15.75" customHeight="1" x14ac:dyDescent="0.35">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spans="1:24" ht="15.75" customHeight="1" x14ac:dyDescent="0.35">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spans="1:24" ht="15.75" customHeight="1" x14ac:dyDescent="0.35">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spans="1:24" ht="15.75" customHeight="1" x14ac:dyDescent="0.35">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spans="1:24" ht="15.75" customHeight="1" x14ac:dyDescent="0.35">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spans="1:24" ht="15.75" customHeight="1" x14ac:dyDescent="0.35">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spans="1:24" ht="15.75" customHeight="1" x14ac:dyDescent="0.35">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spans="1:24" ht="15.75" customHeight="1" x14ac:dyDescent="0.3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spans="1:24" ht="15.75" customHeight="1" x14ac:dyDescent="0.35">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spans="1:24" ht="15.75" customHeight="1" x14ac:dyDescent="0.35">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spans="1:24" ht="15.75" customHeight="1" x14ac:dyDescent="0.35">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spans="1:24" ht="15.75" customHeight="1" x14ac:dyDescent="0.35">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spans="1:24" ht="15.75" customHeight="1" x14ac:dyDescent="0.35">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spans="1:24" ht="15.75" customHeight="1" x14ac:dyDescent="0.35">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spans="1:24" ht="15.75" customHeight="1" x14ac:dyDescent="0.35">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spans="1:24" ht="15.75" customHeight="1" x14ac:dyDescent="0.35">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spans="1:24" ht="15.75" customHeight="1" x14ac:dyDescent="0.35">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spans="1:24" ht="15.75" customHeight="1" x14ac:dyDescent="0.3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spans="1:24" ht="15.75" customHeight="1" x14ac:dyDescent="0.35">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spans="1:24" ht="15.75" customHeight="1" x14ac:dyDescent="0.35">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spans="1:24" ht="15.75" customHeight="1" x14ac:dyDescent="0.35">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spans="1:24" ht="15.75" customHeight="1" x14ac:dyDescent="0.35">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spans="1:24" ht="15.75" customHeight="1" x14ac:dyDescent="0.35">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spans="1:24" ht="15.75" customHeight="1" x14ac:dyDescent="0.35">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spans="1:24" ht="15.75" customHeight="1" x14ac:dyDescent="0.35">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spans="1:24" ht="15.75" customHeight="1" x14ac:dyDescent="0.35">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spans="1:24" ht="15.75" customHeight="1" x14ac:dyDescent="0.35">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spans="1:24" ht="15.75" customHeight="1" x14ac:dyDescent="0.3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spans="1:24" ht="15.75" customHeight="1" x14ac:dyDescent="0.35">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spans="1:24" ht="15.75" customHeight="1" x14ac:dyDescent="0.35">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spans="1:24" ht="15.75" customHeight="1" x14ac:dyDescent="0.35">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spans="1:24" ht="15.75" customHeight="1" x14ac:dyDescent="0.35">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spans="1:24" ht="15.75" customHeight="1" x14ac:dyDescent="0.35">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spans="1:24" ht="15.75" customHeight="1" x14ac:dyDescent="0.35">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spans="1:24" ht="15.75" customHeight="1" x14ac:dyDescent="0.35">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spans="1:24" ht="15.75" customHeight="1" x14ac:dyDescent="0.35">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spans="1:24" ht="15.75" customHeight="1" x14ac:dyDescent="0.35">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spans="1:24" ht="15.75" customHeight="1" x14ac:dyDescent="0.3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spans="1:24" ht="15.75" customHeight="1" x14ac:dyDescent="0.35">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spans="1:24" ht="15.75" customHeight="1" x14ac:dyDescent="0.35">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spans="1:24" ht="15.75" customHeight="1" x14ac:dyDescent="0.35">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spans="1:24" ht="15.75" customHeight="1" x14ac:dyDescent="0.35">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spans="1:24" ht="15.75" customHeight="1" x14ac:dyDescent="0.35">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spans="1:24" ht="15.75" customHeight="1" x14ac:dyDescent="0.35">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spans="1:24" ht="15.75" customHeight="1" x14ac:dyDescent="0.35">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spans="1:24" ht="15.75" customHeight="1" x14ac:dyDescent="0.35">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spans="1:24" ht="15.75" customHeight="1" x14ac:dyDescent="0.35">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spans="1:24" ht="15.75" customHeight="1" x14ac:dyDescent="0.3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spans="1:24" ht="15.75" customHeight="1" x14ac:dyDescent="0.35">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spans="1:24" ht="15.75" customHeight="1" x14ac:dyDescent="0.35">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spans="1:24" ht="15.75" customHeight="1" x14ac:dyDescent="0.35">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spans="1:24" ht="15.75" customHeight="1" x14ac:dyDescent="0.35">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spans="1:24" ht="15.75" customHeight="1" x14ac:dyDescent="0.35">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spans="1:24" ht="15.75" customHeight="1" x14ac:dyDescent="0.35">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spans="1:24" ht="15.75" customHeight="1" x14ac:dyDescent="0.35">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spans="1:24" ht="15.75" customHeight="1" x14ac:dyDescent="0.35">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spans="1:24" ht="15.75" customHeight="1" x14ac:dyDescent="0.35">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spans="1:24" ht="15.75" customHeight="1" x14ac:dyDescent="0.3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spans="1:24" ht="15.75" customHeight="1" x14ac:dyDescent="0.35">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spans="1:24" ht="15.75" customHeight="1" x14ac:dyDescent="0.35">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spans="1:24" ht="15.75" customHeight="1" x14ac:dyDescent="0.35">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spans="1:24" ht="15.75" customHeight="1" x14ac:dyDescent="0.35">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spans="1:24" ht="15.75" customHeight="1" x14ac:dyDescent="0.35">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spans="1:24" ht="15.75" customHeight="1" x14ac:dyDescent="0.35">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spans="1:24" ht="15.75" customHeight="1" x14ac:dyDescent="0.35">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spans="1:24" ht="15.75" customHeight="1" x14ac:dyDescent="0.35">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spans="1:24" ht="15.75" customHeight="1" x14ac:dyDescent="0.35">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spans="1:24" ht="15.75" customHeight="1" x14ac:dyDescent="0.3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spans="1:24" ht="15.75" customHeight="1" x14ac:dyDescent="0.35">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spans="1:24" ht="15.75" customHeight="1" x14ac:dyDescent="0.35">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spans="1:24" ht="15.75" customHeight="1" x14ac:dyDescent="0.35">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spans="1:24" ht="15.75" customHeight="1" x14ac:dyDescent="0.35">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spans="1:24" ht="15.75" customHeight="1" x14ac:dyDescent="0.35">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spans="1:24" ht="15.75" customHeight="1" x14ac:dyDescent="0.35">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spans="1:24" ht="15.75" customHeight="1" x14ac:dyDescent="0.35">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spans="1:24" ht="15.75" customHeight="1" x14ac:dyDescent="0.35">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spans="1:24" ht="15.75" customHeight="1" x14ac:dyDescent="0.35">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spans="1:24" ht="15.75" customHeight="1" x14ac:dyDescent="0.3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spans="1:24" ht="15.75" customHeight="1" x14ac:dyDescent="0.35">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spans="1:24" ht="15.75" customHeight="1" x14ac:dyDescent="0.35">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spans="1:24" ht="15.75" customHeight="1" x14ac:dyDescent="0.35">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spans="1:24" ht="15.75" customHeight="1" x14ac:dyDescent="0.35">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spans="1:24" ht="15.75" customHeight="1" x14ac:dyDescent="0.35">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spans="1:24" ht="15.75" customHeight="1" x14ac:dyDescent="0.35">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spans="1:24" ht="15.75" customHeight="1" x14ac:dyDescent="0.35">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spans="1:24" ht="15.75" customHeight="1" x14ac:dyDescent="0.35">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spans="1:24" ht="15.75" customHeight="1" x14ac:dyDescent="0.35">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spans="1:24" ht="15.75" customHeight="1" x14ac:dyDescent="0.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spans="1:24" ht="15.75" customHeight="1" x14ac:dyDescent="0.35">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spans="1:24" ht="15.75" customHeight="1" x14ac:dyDescent="0.35">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spans="1:24" ht="15.75" customHeight="1" x14ac:dyDescent="0.35">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spans="1:24" ht="15.75" customHeight="1" x14ac:dyDescent="0.35">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spans="1:24" ht="15.75" customHeight="1" x14ac:dyDescent="0.35">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spans="1:24" ht="15.75" customHeight="1" x14ac:dyDescent="0.35">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spans="1:24" ht="15.75" customHeight="1" x14ac:dyDescent="0.35">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spans="1:24" ht="15.75" customHeight="1" x14ac:dyDescent="0.35">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spans="1:24" ht="15.75" customHeight="1" x14ac:dyDescent="0.35">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spans="1:24" ht="15.75" customHeight="1" x14ac:dyDescent="0.3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spans="1:24" ht="15.75" customHeight="1" x14ac:dyDescent="0.35">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spans="1:24" ht="15.75" customHeight="1" x14ac:dyDescent="0.35">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spans="1:24" ht="15.75" customHeight="1" x14ac:dyDescent="0.35">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spans="1:24" ht="15.75" customHeight="1" x14ac:dyDescent="0.35">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spans="1:24" ht="15.75" customHeight="1" x14ac:dyDescent="0.35">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spans="1:24" ht="15.75" customHeight="1" x14ac:dyDescent="0.35">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spans="1:24" ht="15.75" customHeight="1" x14ac:dyDescent="0.35">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spans="1:24" ht="15.75" customHeight="1" x14ac:dyDescent="0.35">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spans="1:24" ht="15.75" customHeight="1" x14ac:dyDescent="0.35">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spans="1:24" ht="15.75" customHeight="1" x14ac:dyDescent="0.3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spans="1:24" ht="15.75" customHeight="1" x14ac:dyDescent="0.35">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spans="1:24" ht="15.75" customHeight="1" x14ac:dyDescent="0.35">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spans="1:24" ht="15.75" customHeight="1" x14ac:dyDescent="0.35">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spans="1:24" ht="15.75" customHeight="1" x14ac:dyDescent="0.35">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spans="1:24" ht="15.75" customHeight="1" x14ac:dyDescent="0.35">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spans="1:24" ht="15.75" customHeight="1" x14ac:dyDescent="0.35">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spans="1:24" ht="15.75" customHeight="1" x14ac:dyDescent="0.35">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spans="1:24" ht="15.75" customHeight="1" x14ac:dyDescent="0.35">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spans="1:24" ht="15.75" customHeight="1" x14ac:dyDescent="0.35">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spans="1:24" ht="15.75" customHeight="1" x14ac:dyDescent="0.3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spans="1:24" ht="15.75" customHeight="1" x14ac:dyDescent="0.35">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spans="1:24" ht="15.75" customHeight="1" x14ac:dyDescent="0.35">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spans="1:24" ht="15.75" customHeight="1" x14ac:dyDescent="0.35">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spans="1:24" ht="15.75" customHeight="1" x14ac:dyDescent="0.35">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spans="1:24" ht="15.75" customHeight="1" x14ac:dyDescent="0.35">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spans="1:24" ht="15.75" customHeight="1" x14ac:dyDescent="0.35">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spans="1:24" ht="15.75" customHeight="1" x14ac:dyDescent="0.35">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spans="1:24" ht="15.75" customHeight="1" x14ac:dyDescent="0.35">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spans="1:24" ht="15.75" customHeight="1" x14ac:dyDescent="0.35">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spans="1:24" ht="15.75" customHeight="1" x14ac:dyDescent="0.3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spans="1:24" ht="15.75" customHeight="1" x14ac:dyDescent="0.35">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spans="1:24" ht="15.75" customHeight="1" x14ac:dyDescent="0.35">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spans="1:24" ht="15.75" customHeight="1" x14ac:dyDescent="0.35">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spans="1:24" ht="15.75" customHeight="1" x14ac:dyDescent="0.35">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spans="1:24" ht="15.75" customHeight="1" x14ac:dyDescent="0.35">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spans="1:24" ht="15.75" customHeight="1" x14ac:dyDescent="0.35">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spans="1:24" ht="15.75" customHeight="1" x14ac:dyDescent="0.35">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spans="1:24" ht="15.75" customHeight="1" x14ac:dyDescent="0.35">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spans="1:24" ht="15.75" customHeight="1" x14ac:dyDescent="0.35">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spans="1:24" ht="15.75" customHeight="1" x14ac:dyDescent="0.3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spans="1:24" ht="15.75" customHeight="1" x14ac:dyDescent="0.35">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spans="1:24" ht="15.75" customHeight="1" x14ac:dyDescent="0.35">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spans="1:24" ht="15.75" customHeight="1" x14ac:dyDescent="0.35">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spans="1:24" ht="15.75" customHeight="1" x14ac:dyDescent="0.3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spans="1:24" ht="15.75" customHeight="1" x14ac:dyDescent="0.3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spans="1:24" ht="15.75" customHeight="1" x14ac:dyDescent="0.3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spans="1:24" ht="15.75" customHeight="1" x14ac:dyDescent="0.3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spans="1:24" ht="15.75" customHeight="1" x14ac:dyDescent="0.3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spans="1:24" ht="15.75" customHeight="1" x14ac:dyDescent="0.3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spans="1:24" ht="15.75" customHeight="1" x14ac:dyDescent="0.3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spans="1:24" ht="15.75" customHeight="1" x14ac:dyDescent="0.3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spans="1:24" ht="15.75" customHeight="1" x14ac:dyDescent="0.3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spans="1:24" ht="15.75" customHeight="1" x14ac:dyDescent="0.3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spans="1:24" ht="15.75" customHeight="1" x14ac:dyDescent="0.3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spans="1:24" ht="15.75" customHeight="1" x14ac:dyDescent="0.3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spans="1:24" ht="15.75" customHeight="1" x14ac:dyDescent="0.3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spans="1:24" ht="15.75" customHeight="1" x14ac:dyDescent="0.3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spans="1:24" ht="15.75" customHeight="1" x14ac:dyDescent="0.3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spans="1:24" ht="15.75" customHeight="1" x14ac:dyDescent="0.3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spans="1:24" ht="15.75" customHeight="1" x14ac:dyDescent="0.3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spans="1:24" ht="15.75" customHeight="1" x14ac:dyDescent="0.3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spans="1:24" ht="15.75" customHeight="1" x14ac:dyDescent="0.3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spans="1:24" ht="15.75" customHeight="1" x14ac:dyDescent="0.3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spans="1:24" ht="15.75" customHeight="1" x14ac:dyDescent="0.3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spans="1:24" ht="15.75" customHeight="1" x14ac:dyDescent="0.3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spans="1:24" ht="15.75" customHeight="1" x14ac:dyDescent="0.3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spans="1:24" ht="15.75" customHeight="1" x14ac:dyDescent="0.3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spans="1:24" ht="15.75" customHeight="1" x14ac:dyDescent="0.3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spans="1:24" ht="15.75" customHeight="1" x14ac:dyDescent="0.3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spans="1:24" ht="15.75" customHeight="1" x14ac:dyDescent="0.3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spans="1:24" ht="15.75" customHeight="1" x14ac:dyDescent="0.3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spans="1:24" ht="15.75" customHeight="1" x14ac:dyDescent="0.3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spans="1:24" ht="15.75" customHeight="1" x14ac:dyDescent="0.3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spans="1:24" ht="15.75" customHeight="1" x14ac:dyDescent="0.3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spans="1:24" ht="15.75" customHeight="1" x14ac:dyDescent="0.3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spans="1:24" ht="15.75" customHeight="1" x14ac:dyDescent="0.3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spans="1:24" ht="15.75" customHeight="1" x14ac:dyDescent="0.3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spans="1:24" ht="15.75" customHeight="1" x14ac:dyDescent="0.3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spans="1:24" ht="15.75" customHeight="1" x14ac:dyDescent="0.3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spans="1:24" ht="15.75" customHeight="1" x14ac:dyDescent="0.3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spans="1:24" ht="15.75" customHeight="1" x14ac:dyDescent="0.3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spans="1:24" ht="15.75" customHeight="1" x14ac:dyDescent="0.3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spans="1:24" ht="15.75" customHeight="1" x14ac:dyDescent="0.3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spans="1:24" ht="15.75" customHeight="1" x14ac:dyDescent="0.3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spans="1:24" ht="15.75" customHeight="1" x14ac:dyDescent="0.3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spans="1:24" ht="15.75" customHeight="1" x14ac:dyDescent="0.3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spans="1:24" ht="15.75" customHeight="1" x14ac:dyDescent="0.3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spans="1:24" ht="15.75" customHeight="1" x14ac:dyDescent="0.3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spans="1:24" ht="15.75" customHeight="1" x14ac:dyDescent="0.3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spans="1:24" ht="15.75" customHeight="1" x14ac:dyDescent="0.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spans="1:24" ht="15.75" customHeight="1" x14ac:dyDescent="0.3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spans="1:24" ht="15.75" customHeight="1" x14ac:dyDescent="0.3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spans="1:24" ht="15.75" customHeight="1" x14ac:dyDescent="0.3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spans="1:24" ht="15.75" customHeight="1" x14ac:dyDescent="0.3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spans="1:24" ht="15.75" customHeight="1" x14ac:dyDescent="0.3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spans="1:24" ht="15.75" customHeight="1" x14ac:dyDescent="0.3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spans="1:24" ht="15.75" customHeight="1" x14ac:dyDescent="0.3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spans="1:24" ht="15.75" customHeight="1" x14ac:dyDescent="0.3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spans="1:24" ht="15.75" customHeight="1" x14ac:dyDescent="0.3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spans="1:24" ht="15.75" customHeight="1" x14ac:dyDescent="0.3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spans="1:24" ht="15.75" customHeight="1" x14ac:dyDescent="0.3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spans="1:24" ht="15.75" customHeight="1" x14ac:dyDescent="0.3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spans="1:24" ht="15.75" customHeight="1" x14ac:dyDescent="0.3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spans="1:24" ht="15.75" customHeight="1" x14ac:dyDescent="0.3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spans="1:24" ht="15.75" customHeight="1" x14ac:dyDescent="0.3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spans="1:24" ht="15.75" customHeight="1" x14ac:dyDescent="0.3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spans="1:24" ht="15.75" customHeight="1" x14ac:dyDescent="0.3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spans="1:24" ht="15.75" customHeight="1" x14ac:dyDescent="0.3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spans="1:24" ht="15.75" customHeight="1" x14ac:dyDescent="0.3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spans="1:24" ht="15.75" customHeight="1" x14ac:dyDescent="0.3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spans="1:24" ht="15.75" customHeight="1" x14ac:dyDescent="0.3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spans="1:24" ht="15.75" customHeight="1" x14ac:dyDescent="0.3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spans="1:24" ht="15.75" customHeight="1" x14ac:dyDescent="0.3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spans="1:24" ht="15.75" customHeight="1" x14ac:dyDescent="0.3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spans="1:24" ht="15.75" customHeight="1" x14ac:dyDescent="0.3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spans="1:24" ht="15.75" customHeight="1" x14ac:dyDescent="0.3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spans="1:24" ht="15.75" customHeight="1" x14ac:dyDescent="0.3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spans="1:24" ht="15.75" customHeight="1" x14ac:dyDescent="0.3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spans="1:24" ht="15.75" customHeight="1" x14ac:dyDescent="0.3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spans="1:24" ht="15.75" customHeight="1" x14ac:dyDescent="0.3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spans="1:24" ht="15.75" customHeight="1" x14ac:dyDescent="0.3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spans="1:24" ht="15.75" customHeight="1" x14ac:dyDescent="0.3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spans="1:24" ht="15.75" customHeight="1" x14ac:dyDescent="0.3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spans="1:24" ht="15.75" customHeight="1" x14ac:dyDescent="0.3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spans="1:24" ht="15.75" customHeight="1" x14ac:dyDescent="0.3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spans="1:24" ht="15.75" customHeight="1" x14ac:dyDescent="0.3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spans="1:24" ht="15.75" customHeight="1" x14ac:dyDescent="0.3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spans="1:24" ht="15.75" customHeight="1" x14ac:dyDescent="0.3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spans="1:24" ht="15.75" customHeight="1" x14ac:dyDescent="0.3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spans="1:24" ht="15.75" customHeight="1" x14ac:dyDescent="0.3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spans="1:24" ht="15.75" customHeight="1" x14ac:dyDescent="0.3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spans="1:24" ht="15.75" customHeight="1" x14ac:dyDescent="0.3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spans="1:24" ht="15.75" customHeight="1" x14ac:dyDescent="0.3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spans="1:24" ht="15.75" customHeight="1" x14ac:dyDescent="0.3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spans="1:24" ht="15.75" customHeight="1" x14ac:dyDescent="0.3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spans="1:24" ht="15.75" customHeight="1" x14ac:dyDescent="0.3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spans="1:24" ht="15.75" customHeight="1" x14ac:dyDescent="0.3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spans="1:24" ht="15.75" customHeight="1" x14ac:dyDescent="0.3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spans="1:24" ht="15.75" customHeight="1" x14ac:dyDescent="0.3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spans="1:24" ht="15.75" customHeight="1" x14ac:dyDescent="0.3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spans="1:24" ht="15.75" customHeight="1" x14ac:dyDescent="0.3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spans="1:24" ht="15.75" customHeight="1" x14ac:dyDescent="0.3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spans="1:24" ht="15.75" customHeight="1" x14ac:dyDescent="0.3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spans="1:24" ht="15.75" customHeight="1" x14ac:dyDescent="0.3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spans="1:24" ht="15.75" customHeight="1" x14ac:dyDescent="0.3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spans="1:24" ht="15.75" customHeight="1" x14ac:dyDescent="0.3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spans="1:24" ht="15.75" customHeight="1" x14ac:dyDescent="0.3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spans="1:24" ht="15.75" customHeight="1" x14ac:dyDescent="0.3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spans="1:24" ht="15.75" customHeight="1" x14ac:dyDescent="0.3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spans="1:24" ht="15.75" customHeight="1" x14ac:dyDescent="0.3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spans="1:24" ht="15.75" customHeight="1" x14ac:dyDescent="0.3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spans="1:24" ht="15.75" customHeight="1" x14ac:dyDescent="0.3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spans="1:24" ht="15.75" customHeight="1" x14ac:dyDescent="0.3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spans="1:24" ht="15.75" customHeight="1" x14ac:dyDescent="0.3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spans="1:24" ht="15.75" customHeight="1" x14ac:dyDescent="0.3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spans="1:24" ht="15.75" customHeight="1" x14ac:dyDescent="0.3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spans="1:24" ht="15.75" customHeight="1" x14ac:dyDescent="0.3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spans="1:24" ht="15.75" customHeight="1" x14ac:dyDescent="0.3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spans="1:24" ht="15.75" customHeight="1" x14ac:dyDescent="0.3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spans="1:24" ht="15.75" customHeight="1" x14ac:dyDescent="0.3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spans="1:24" ht="15.75" customHeight="1" x14ac:dyDescent="0.3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spans="1:24" ht="15.75" customHeight="1" x14ac:dyDescent="0.3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spans="1:24" ht="15.75" customHeight="1" x14ac:dyDescent="0.3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spans="1:24" ht="15.75" customHeight="1" x14ac:dyDescent="0.3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spans="1:24" ht="15.75" customHeight="1" x14ac:dyDescent="0.3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spans="1:24" ht="15.75" customHeight="1" x14ac:dyDescent="0.3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spans="1:24" ht="15.75" customHeight="1" x14ac:dyDescent="0.3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spans="1:24" ht="15.75" customHeight="1" x14ac:dyDescent="0.3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spans="1:24" ht="15.75" customHeight="1" x14ac:dyDescent="0.3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spans="1:24" ht="15.75" customHeight="1" x14ac:dyDescent="0.3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spans="1:24" ht="15.75" customHeight="1" x14ac:dyDescent="0.3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spans="1:24" ht="15.75" customHeight="1" x14ac:dyDescent="0.3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spans="1:24" ht="15.75" customHeight="1" x14ac:dyDescent="0.3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spans="1:24" ht="15.75" customHeight="1" x14ac:dyDescent="0.3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spans="1:24" ht="15.75" customHeight="1" x14ac:dyDescent="0.3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spans="1:24" ht="15.75" customHeight="1" x14ac:dyDescent="0.3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spans="1:24" ht="15.75" customHeight="1" x14ac:dyDescent="0.3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spans="1:24" ht="15.75" customHeight="1" x14ac:dyDescent="0.3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spans="1:24" ht="15.75" customHeight="1" x14ac:dyDescent="0.3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spans="1:24" ht="15.75" customHeight="1" x14ac:dyDescent="0.3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spans="1:24" ht="15.75" customHeight="1" x14ac:dyDescent="0.3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spans="1:24" ht="15.75" customHeight="1" x14ac:dyDescent="0.3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spans="1:24" ht="15.75" customHeight="1" x14ac:dyDescent="0.3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spans="1:24" ht="15.75" customHeight="1" x14ac:dyDescent="0.3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spans="1:24" ht="15.75" customHeight="1" x14ac:dyDescent="0.3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spans="1:24" ht="15.75" customHeight="1" x14ac:dyDescent="0.3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spans="1:24" ht="15.75" customHeight="1" x14ac:dyDescent="0.3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spans="1:24" ht="15.75" customHeight="1" x14ac:dyDescent="0.3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spans="1:24" ht="15.75" customHeight="1" x14ac:dyDescent="0.3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spans="1:24" ht="15.75" customHeight="1" x14ac:dyDescent="0.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spans="1:24" ht="15.75" customHeight="1" x14ac:dyDescent="0.3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spans="1:24" ht="15.75" customHeight="1" x14ac:dyDescent="0.3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spans="1:24" ht="15.75" customHeight="1" x14ac:dyDescent="0.3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spans="1:24" ht="15.75" customHeight="1" x14ac:dyDescent="0.3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spans="1:24" ht="15.75" customHeight="1" x14ac:dyDescent="0.3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spans="1:24" ht="15.75" customHeight="1" x14ac:dyDescent="0.3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spans="1:24" ht="15.75" customHeight="1" x14ac:dyDescent="0.3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spans="1:24" ht="15.75" customHeight="1" x14ac:dyDescent="0.3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spans="1:24" ht="15.75" customHeight="1" x14ac:dyDescent="0.3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spans="1:24" ht="15.75" customHeight="1" x14ac:dyDescent="0.3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spans="1:24" ht="15.75" customHeight="1" x14ac:dyDescent="0.3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spans="1:24" ht="15.75" customHeight="1" x14ac:dyDescent="0.3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spans="1:24" ht="15.75" customHeight="1" x14ac:dyDescent="0.3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spans="1:24" ht="15.75" customHeight="1" x14ac:dyDescent="0.3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spans="1:24" ht="15.75" customHeight="1" x14ac:dyDescent="0.3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spans="1:24" ht="15.75" customHeight="1" x14ac:dyDescent="0.3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spans="1:24" ht="15.75" customHeight="1" x14ac:dyDescent="0.3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spans="1:24" ht="15.75" customHeight="1" x14ac:dyDescent="0.3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spans="1:24" ht="15.75" customHeight="1" x14ac:dyDescent="0.3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spans="1:24" ht="15.75" customHeight="1" x14ac:dyDescent="0.3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spans="1:24" ht="15.75" customHeight="1" x14ac:dyDescent="0.3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spans="1:24" ht="15.75" customHeight="1" x14ac:dyDescent="0.3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spans="1:24" ht="15.75" customHeight="1" x14ac:dyDescent="0.3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spans="1:24" ht="15.75" customHeight="1" x14ac:dyDescent="0.3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spans="1:24" ht="15.75" customHeight="1" x14ac:dyDescent="0.3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spans="1:24" ht="15.75" customHeight="1" x14ac:dyDescent="0.3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spans="1:24" ht="15.75" customHeight="1" x14ac:dyDescent="0.3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spans="1:24" ht="15.75" customHeight="1" x14ac:dyDescent="0.3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spans="1:24" ht="15.75" customHeight="1" x14ac:dyDescent="0.3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spans="1:24" ht="15.75" customHeight="1" x14ac:dyDescent="0.3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spans="1:24" ht="15.75" customHeight="1" x14ac:dyDescent="0.3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spans="1:24" ht="15.75" customHeight="1" x14ac:dyDescent="0.3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spans="1:24" ht="15.75" customHeight="1" x14ac:dyDescent="0.3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spans="1:24" ht="15.75" customHeight="1" x14ac:dyDescent="0.3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spans="1:24" ht="15.75" customHeight="1" x14ac:dyDescent="0.3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spans="1:24" ht="15.75" customHeight="1" x14ac:dyDescent="0.3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spans="1:24" ht="15.75" customHeight="1" x14ac:dyDescent="0.3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spans="1:24" ht="15.75" customHeight="1" x14ac:dyDescent="0.3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spans="1:24" ht="15.75" customHeight="1" x14ac:dyDescent="0.3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spans="1:24" ht="15.75" customHeight="1" x14ac:dyDescent="0.3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spans="1:24" ht="15.75" customHeight="1" x14ac:dyDescent="0.3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spans="1:24" ht="15.75" customHeight="1" x14ac:dyDescent="0.3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spans="1:24" ht="15.75" customHeight="1" x14ac:dyDescent="0.3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spans="1:24" ht="15.75" customHeight="1" x14ac:dyDescent="0.3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spans="1:24" ht="15.75" customHeight="1" x14ac:dyDescent="0.3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spans="1:24" ht="15.75" customHeight="1" x14ac:dyDescent="0.3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spans="1:24" ht="15.75" customHeight="1" x14ac:dyDescent="0.3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spans="1:24" ht="15.75" customHeight="1" x14ac:dyDescent="0.3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spans="1:24" ht="15.75" customHeight="1" x14ac:dyDescent="0.3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spans="1:24" ht="15.75" customHeight="1" x14ac:dyDescent="0.3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spans="1:24" ht="15.75" customHeight="1" x14ac:dyDescent="0.3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spans="1:24" ht="15.75" customHeight="1" x14ac:dyDescent="0.3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spans="1:24" ht="15.75" customHeight="1" x14ac:dyDescent="0.3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spans="1:24" ht="15.75" customHeight="1" x14ac:dyDescent="0.3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spans="1:24" ht="15.75" customHeight="1" x14ac:dyDescent="0.3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spans="1:24" ht="15.75" customHeight="1" x14ac:dyDescent="0.3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spans="1:24" ht="15.75" customHeight="1" x14ac:dyDescent="0.3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spans="1:24" ht="15.75" customHeight="1" x14ac:dyDescent="0.3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spans="1:24" ht="15.75" customHeight="1" x14ac:dyDescent="0.3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spans="1:24" ht="15.75" customHeight="1" x14ac:dyDescent="0.3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spans="1:24" ht="15.75" customHeight="1" x14ac:dyDescent="0.3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spans="1:24" ht="15.75" customHeight="1" x14ac:dyDescent="0.3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spans="1:24" ht="15.75" customHeight="1" x14ac:dyDescent="0.3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spans="1:24" ht="15.75" customHeight="1" x14ac:dyDescent="0.3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spans="1:24" ht="15.75" customHeight="1" x14ac:dyDescent="0.3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spans="1:24" ht="15.75" customHeight="1" x14ac:dyDescent="0.3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spans="1:24" ht="15.75" customHeight="1" x14ac:dyDescent="0.3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spans="1:24" ht="15.75" customHeight="1" x14ac:dyDescent="0.3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spans="1:24" ht="15.75" customHeight="1" x14ac:dyDescent="0.3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spans="1:24" ht="15.75" customHeight="1" x14ac:dyDescent="0.3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spans="1:24" ht="15.75" customHeight="1" x14ac:dyDescent="0.3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spans="1:24" ht="15.75" customHeight="1" x14ac:dyDescent="0.3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spans="1:24" ht="15.75" customHeight="1" x14ac:dyDescent="0.3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spans="1:24" ht="15.75" customHeight="1" x14ac:dyDescent="0.3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spans="1:24" ht="15.75" customHeight="1" x14ac:dyDescent="0.3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spans="1:24" ht="15.75" customHeight="1" x14ac:dyDescent="0.3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spans="1:24" ht="15.75" customHeight="1" x14ac:dyDescent="0.3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spans="1:24" ht="15.75" customHeight="1" x14ac:dyDescent="0.3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spans="1:24" ht="15.75" customHeight="1" x14ac:dyDescent="0.3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spans="1:24" ht="15.75" customHeight="1" x14ac:dyDescent="0.3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spans="1:24" ht="15.75" customHeight="1" x14ac:dyDescent="0.3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spans="1:24" ht="15.75" customHeight="1" x14ac:dyDescent="0.3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spans="1:24" ht="15.75" customHeight="1" x14ac:dyDescent="0.3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spans="1:24" ht="15.75" customHeight="1" x14ac:dyDescent="0.3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spans="1:24" ht="15.75" customHeight="1" x14ac:dyDescent="0.3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spans="1:24" ht="15.75" customHeight="1" x14ac:dyDescent="0.3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spans="1:24" ht="15.75" customHeight="1" x14ac:dyDescent="0.3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spans="1:24" ht="15.75" customHeight="1" x14ac:dyDescent="0.3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spans="1:24" ht="15.75" customHeight="1" x14ac:dyDescent="0.3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spans="1:24" ht="15.75" customHeight="1" x14ac:dyDescent="0.3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spans="1:24" ht="15.75" customHeight="1" x14ac:dyDescent="0.3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spans="1:24" ht="15.75" customHeight="1" x14ac:dyDescent="0.3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spans="1:24" ht="15.75" customHeight="1" x14ac:dyDescent="0.3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spans="1:24" ht="15.75" customHeight="1" x14ac:dyDescent="0.3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spans="1:24" ht="15.75" customHeight="1" x14ac:dyDescent="0.3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spans="1:24" ht="15.75" customHeight="1" x14ac:dyDescent="0.3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spans="1:24" ht="15.75" customHeight="1" x14ac:dyDescent="0.3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spans="1:24" ht="15.75" customHeight="1" x14ac:dyDescent="0.3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spans="1:24" ht="15.75" customHeight="1" x14ac:dyDescent="0.3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spans="1:24" ht="15.75" customHeight="1" x14ac:dyDescent="0.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spans="1:24" ht="15.75" customHeight="1" x14ac:dyDescent="0.3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spans="1:24" ht="15.75" customHeight="1" x14ac:dyDescent="0.3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spans="1:24" ht="15.75" customHeight="1" x14ac:dyDescent="0.3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spans="1:24" ht="15.75" customHeight="1" x14ac:dyDescent="0.3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spans="1:24" ht="15.75" customHeight="1" x14ac:dyDescent="0.3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spans="1:24" ht="15.75" customHeight="1" x14ac:dyDescent="0.3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spans="1:24" ht="15.75" customHeight="1" x14ac:dyDescent="0.3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spans="1:24" ht="15.75" customHeight="1" x14ac:dyDescent="0.3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spans="1:24" ht="15.75" customHeight="1" x14ac:dyDescent="0.3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spans="1:24" ht="15.75" customHeight="1" x14ac:dyDescent="0.3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spans="1:24" ht="15.75" customHeight="1" x14ac:dyDescent="0.3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spans="1:24" ht="15.75" customHeight="1" x14ac:dyDescent="0.3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spans="1:24" ht="15.75" customHeight="1" x14ac:dyDescent="0.3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spans="1:24" ht="15.75" customHeight="1" x14ac:dyDescent="0.3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spans="1:24" ht="15.75" customHeight="1" x14ac:dyDescent="0.3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spans="1:24" ht="15.75" customHeight="1" x14ac:dyDescent="0.3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spans="1:24" ht="15.75" customHeight="1" x14ac:dyDescent="0.3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spans="1:24" ht="15.75" customHeight="1" x14ac:dyDescent="0.3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spans="1:24" ht="15.75" customHeight="1" x14ac:dyDescent="0.3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spans="1:24" ht="15.75" customHeight="1" x14ac:dyDescent="0.3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spans="1:24" ht="15.75" customHeight="1" x14ac:dyDescent="0.3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spans="1:24" ht="15.75" customHeight="1" x14ac:dyDescent="0.3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spans="1:24" ht="15.75" customHeight="1" x14ac:dyDescent="0.3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spans="1:24" ht="15.75" customHeight="1" x14ac:dyDescent="0.3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spans="1:24" ht="15.75" customHeight="1" x14ac:dyDescent="0.3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spans="1:24" ht="15.75" customHeight="1" x14ac:dyDescent="0.3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spans="1:24" ht="15.75" customHeight="1" x14ac:dyDescent="0.3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spans="1:24" ht="15.75" customHeight="1" x14ac:dyDescent="0.3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spans="1:24" ht="15.75" customHeight="1" x14ac:dyDescent="0.3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spans="1:24" ht="15.75" customHeight="1" x14ac:dyDescent="0.3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spans="1:24" ht="15.75" customHeight="1" x14ac:dyDescent="0.3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spans="1:24" ht="15.75" customHeight="1" x14ac:dyDescent="0.3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spans="1:24" ht="15.75" customHeight="1" x14ac:dyDescent="0.3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spans="1:24" ht="15.75" customHeight="1" x14ac:dyDescent="0.3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spans="1:24" ht="15.75" customHeight="1" x14ac:dyDescent="0.3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spans="1:24" ht="15.75" customHeight="1" x14ac:dyDescent="0.3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spans="1:24" ht="15.75" customHeight="1" x14ac:dyDescent="0.3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spans="1:24" ht="15.75" customHeight="1" x14ac:dyDescent="0.3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spans="1:24" ht="15.75" customHeight="1" x14ac:dyDescent="0.3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spans="1:24" ht="15.75" customHeight="1" x14ac:dyDescent="0.3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spans="1:24" ht="15.75" customHeight="1" x14ac:dyDescent="0.3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spans="1:24" ht="15.75" customHeight="1" x14ac:dyDescent="0.3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spans="1:24" ht="15.75" customHeight="1" x14ac:dyDescent="0.3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spans="1:24" ht="15.75" customHeight="1" x14ac:dyDescent="0.3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spans="1:24" ht="15.75" customHeight="1" x14ac:dyDescent="0.3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spans="1:24" ht="15.75" customHeight="1" x14ac:dyDescent="0.3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spans="1:24" ht="15.75" customHeight="1" x14ac:dyDescent="0.3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spans="1:24" ht="15.75" customHeight="1" x14ac:dyDescent="0.3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spans="1:24" ht="15.75" customHeight="1" x14ac:dyDescent="0.3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spans="1:24" ht="15.75" customHeight="1" x14ac:dyDescent="0.3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spans="1:24" ht="15.75" customHeight="1" x14ac:dyDescent="0.3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spans="1:24" ht="15.75" customHeight="1" x14ac:dyDescent="0.3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spans="1:24" ht="15.75" customHeight="1" x14ac:dyDescent="0.3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spans="1:24" ht="15.75" customHeight="1" x14ac:dyDescent="0.3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spans="1:24" ht="15.75" customHeight="1" x14ac:dyDescent="0.3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spans="1:24" ht="15.75" customHeight="1" x14ac:dyDescent="0.3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spans="1:24" ht="15.75" customHeight="1" x14ac:dyDescent="0.3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spans="1:24" ht="15.75" customHeight="1" x14ac:dyDescent="0.3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spans="1:24" ht="15.75" customHeight="1" x14ac:dyDescent="0.3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spans="1:24" ht="15.75" customHeight="1" x14ac:dyDescent="0.3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spans="1:24" ht="15.75" customHeight="1" x14ac:dyDescent="0.3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spans="1:24" ht="15.75" customHeight="1" x14ac:dyDescent="0.3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spans="1:24" ht="15.75" customHeight="1" x14ac:dyDescent="0.3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spans="1:24" ht="15.75" customHeight="1" x14ac:dyDescent="0.3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spans="1:24" ht="15.75" customHeight="1" x14ac:dyDescent="0.3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spans="1:24" ht="15.75" customHeight="1" x14ac:dyDescent="0.3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spans="1:24" ht="15.75" customHeight="1" x14ac:dyDescent="0.3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spans="1:24" ht="15.75" customHeight="1" x14ac:dyDescent="0.3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spans="1:24" ht="15.75" customHeight="1" x14ac:dyDescent="0.3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spans="1:24" ht="15.75" customHeight="1" x14ac:dyDescent="0.3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spans="1:24" ht="15.75" customHeight="1" x14ac:dyDescent="0.3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spans="1:24" ht="15.75" customHeight="1" x14ac:dyDescent="0.3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spans="1:24" ht="15.75" customHeight="1" x14ac:dyDescent="0.3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spans="1:24" ht="15.75" customHeight="1" x14ac:dyDescent="0.3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spans="1:24" ht="15.75" customHeight="1" x14ac:dyDescent="0.3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spans="1:24" ht="15.75" customHeight="1" x14ac:dyDescent="0.3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spans="1:24" ht="15.75" customHeight="1" x14ac:dyDescent="0.3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spans="1:24" ht="15.75" customHeight="1" x14ac:dyDescent="0.3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spans="1:24" ht="15.75" customHeight="1" x14ac:dyDescent="0.3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spans="1:24" ht="15.75" customHeight="1" x14ac:dyDescent="0.3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spans="1:24" ht="15.75" customHeight="1" x14ac:dyDescent="0.3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spans="1:24" ht="15.75" customHeight="1" x14ac:dyDescent="0.3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spans="1:24" ht="15.75" customHeight="1" x14ac:dyDescent="0.3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spans="1:24" ht="15.75" customHeight="1" x14ac:dyDescent="0.3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spans="1:24" ht="15.75" customHeight="1" x14ac:dyDescent="0.3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spans="1:24" ht="15.75" customHeight="1" x14ac:dyDescent="0.3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spans="1:24" ht="15.75" customHeight="1" x14ac:dyDescent="0.3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spans="1:24" ht="15.75" customHeight="1" x14ac:dyDescent="0.3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spans="1:24" ht="15.75" customHeight="1" x14ac:dyDescent="0.3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spans="1:24" ht="15.75" customHeight="1" x14ac:dyDescent="0.3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spans="1:24" ht="15.75" customHeight="1" x14ac:dyDescent="0.3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spans="1:24" ht="15.75" customHeight="1" x14ac:dyDescent="0.3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spans="1:24" ht="15.75" customHeight="1" x14ac:dyDescent="0.3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spans="1:24" ht="15.75" customHeight="1" x14ac:dyDescent="0.3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spans="1:24" ht="15.75" customHeight="1" x14ac:dyDescent="0.3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spans="1:24" ht="15.75" customHeight="1" x14ac:dyDescent="0.3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spans="1:24" ht="15.75" customHeight="1" x14ac:dyDescent="0.3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spans="1:24" ht="15.75" customHeight="1" x14ac:dyDescent="0.3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spans="1:24" ht="15.75" customHeight="1" x14ac:dyDescent="0.3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spans="1:24" ht="15.75" customHeight="1" x14ac:dyDescent="0.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spans="1:24" ht="15.75" customHeight="1" x14ac:dyDescent="0.3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spans="1:24" ht="15.75" customHeight="1" x14ac:dyDescent="0.3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spans="1:24" ht="15.75" customHeight="1" x14ac:dyDescent="0.3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spans="1:24" ht="15.75" customHeight="1" x14ac:dyDescent="0.3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spans="1:24" ht="15.75" customHeight="1" x14ac:dyDescent="0.3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spans="1:24" ht="15.75" customHeight="1" x14ac:dyDescent="0.3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spans="1:24" ht="15.75" customHeight="1" x14ac:dyDescent="0.3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spans="1:24" ht="15.75" customHeight="1" x14ac:dyDescent="0.3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spans="1:24" ht="15.75" customHeight="1" x14ac:dyDescent="0.3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spans="1:24" ht="15.75" customHeight="1" x14ac:dyDescent="0.3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spans="1:24" ht="15.75" customHeight="1" x14ac:dyDescent="0.3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spans="1:24" ht="15.75" customHeight="1" x14ac:dyDescent="0.3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spans="1:24" ht="15.75" customHeight="1" x14ac:dyDescent="0.3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spans="1:24" ht="15.75" customHeight="1" x14ac:dyDescent="0.3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spans="1:24" ht="15.75" customHeight="1" x14ac:dyDescent="0.3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spans="1:24" ht="15.75" customHeight="1" x14ac:dyDescent="0.3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spans="1:24" ht="15.75" customHeight="1" x14ac:dyDescent="0.3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spans="1:24" ht="15.75" customHeight="1" x14ac:dyDescent="0.3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spans="1:24" ht="15.75" customHeight="1" x14ac:dyDescent="0.3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spans="1:24" ht="15.75" customHeight="1" x14ac:dyDescent="0.3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spans="1:24" ht="15.75" customHeight="1" x14ac:dyDescent="0.3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spans="1:24" ht="15.75" customHeight="1" x14ac:dyDescent="0.3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spans="1:24" ht="15.75" customHeight="1" x14ac:dyDescent="0.3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spans="1:24" ht="15.75" customHeight="1" x14ac:dyDescent="0.3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spans="1:24" ht="15.75" customHeight="1" x14ac:dyDescent="0.3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spans="1:24" ht="15.75" customHeight="1" x14ac:dyDescent="0.3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spans="1:24" ht="15.75" customHeight="1" x14ac:dyDescent="0.3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spans="1:24" ht="15.75" customHeight="1" x14ac:dyDescent="0.3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spans="1:24" ht="15.75" customHeight="1" x14ac:dyDescent="0.3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spans="1:24" ht="15.75" customHeight="1" x14ac:dyDescent="0.3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spans="1:24" ht="15.75" customHeight="1" x14ac:dyDescent="0.3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spans="1:24" ht="15.75" customHeight="1" x14ac:dyDescent="0.3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spans="1:24" ht="15.75" customHeight="1" x14ac:dyDescent="0.3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spans="1:24" ht="15.75" customHeight="1" x14ac:dyDescent="0.3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spans="1:24" ht="15.75" customHeight="1" x14ac:dyDescent="0.3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spans="1:24" ht="15.75" customHeight="1" x14ac:dyDescent="0.3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spans="1:24" ht="15.75" customHeight="1" x14ac:dyDescent="0.3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spans="1:24" ht="15.75" customHeight="1" x14ac:dyDescent="0.3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spans="1:24" ht="15.75" customHeight="1" x14ac:dyDescent="0.3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spans="1:24" ht="15.75" customHeight="1" x14ac:dyDescent="0.3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spans="1:24" ht="15.75" customHeight="1" x14ac:dyDescent="0.3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spans="1:24" ht="15.75" customHeight="1" x14ac:dyDescent="0.3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spans="1:24" ht="15.75" customHeight="1" x14ac:dyDescent="0.3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spans="1:24" ht="15.75" customHeight="1" x14ac:dyDescent="0.3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spans="1:24" ht="15.75" customHeight="1" x14ac:dyDescent="0.3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spans="1:24" ht="15.75" customHeight="1" x14ac:dyDescent="0.3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spans="1:24" ht="15.75" customHeight="1" x14ac:dyDescent="0.3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spans="1:24" ht="15.75" customHeight="1" x14ac:dyDescent="0.3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spans="1:24" ht="15.75" customHeight="1" x14ac:dyDescent="0.3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spans="1:24" ht="15.75" customHeight="1" x14ac:dyDescent="0.3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spans="1:24" ht="15.75" customHeight="1" x14ac:dyDescent="0.3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spans="1:24" ht="15.75" customHeight="1" x14ac:dyDescent="0.3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spans="1:24" ht="15.75" customHeight="1" x14ac:dyDescent="0.3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spans="1:24" ht="15.75" customHeight="1" x14ac:dyDescent="0.3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spans="1:24" ht="15.75" customHeight="1" x14ac:dyDescent="0.3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spans="1:24" ht="15.75" customHeight="1" x14ac:dyDescent="0.3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spans="1:24" ht="15.75" customHeight="1" x14ac:dyDescent="0.3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spans="1:24" ht="15.75" customHeight="1" x14ac:dyDescent="0.3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spans="1:24" ht="15.75" customHeight="1" x14ac:dyDescent="0.3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spans="1:24" ht="15.75" customHeight="1" x14ac:dyDescent="0.3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spans="1:24" ht="15.75" customHeight="1" x14ac:dyDescent="0.3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spans="1:24" ht="15.75" customHeight="1" x14ac:dyDescent="0.3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spans="1:24" ht="15.75" customHeight="1" x14ac:dyDescent="0.3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spans="1:24" ht="15.75" customHeight="1" x14ac:dyDescent="0.3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spans="1:24" ht="15.75" customHeight="1" x14ac:dyDescent="0.3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spans="1:24" ht="15.75" customHeight="1" x14ac:dyDescent="0.3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spans="1:24" ht="15.75" customHeight="1" x14ac:dyDescent="0.3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spans="1:24" ht="15.75" customHeight="1" x14ac:dyDescent="0.3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spans="1:24" ht="15.75" customHeight="1" x14ac:dyDescent="0.3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spans="1:24" ht="15.75" customHeight="1" x14ac:dyDescent="0.3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spans="1:24" ht="15.75" customHeight="1" x14ac:dyDescent="0.3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spans="1:24" ht="15.75" customHeight="1" x14ac:dyDescent="0.3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spans="1:24" ht="15.75" customHeight="1" x14ac:dyDescent="0.3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spans="1:24" ht="15.75" customHeight="1" x14ac:dyDescent="0.3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spans="1:24" ht="15.75" customHeight="1" x14ac:dyDescent="0.3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spans="1:24" ht="15.75" customHeight="1" x14ac:dyDescent="0.3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spans="1:24" ht="15.75" customHeight="1" x14ac:dyDescent="0.3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spans="1:24" ht="15.75" customHeight="1" x14ac:dyDescent="0.3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spans="1:24" ht="15.75" customHeight="1" x14ac:dyDescent="0.3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spans="1:24" ht="15.75" customHeight="1" x14ac:dyDescent="0.3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spans="1:24" ht="15.75" customHeight="1" x14ac:dyDescent="0.3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spans="1:24" ht="15.75" customHeight="1" x14ac:dyDescent="0.3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spans="1:24" ht="15.75" customHeight="1" x14ac:dyDescent="0.3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spans="1:24" ht="15.75" customHeight="1" x14ac:dyDescent="0.3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spans="1:24" ht="15.75" customHeight="1" x14ac:dyDescent="0.3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spans="1:24" ht="15.75" customHeight="1" x14ac:dyDescent="0.3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spans="1:24" ht="15.75" customHeight="1" x14ac:dyDescent="0.3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spans="1:24" ht="15.75" customHeight="1" x14ac:dyDescent="0.3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spans="1:24" ht="15.75" customHeight="1" x14ac:dyDescent="0.3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spans="1:24" ht="15.75" customHeight="1" x14ac:dyDescent="0.3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spans="1:24" ht="15.75" customHeight="1" x14ac:dyDescent="0.3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spans="1:24" ht="15.75" customHeight="1" x14ac:dyDescent="0.3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spans="1:24" ht="15.75" customHeight="1" x14ac:dyDescent="0.3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spans="1:24" ht="15.75" customHeight="1" x14ac:dyDescent="0.3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spans="1:24" ht="15.75" customHeight="1" x14ac:dyDescent="0.3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spans="1:24" ht="15.75" customHeight="1" x14ac:dyDescent="0.3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spans="1:24" ht="15.75" customHeight="1" x14ac:dyDescent="0.3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spans="1:24" ht="15.75" customHeight="1" x14ac:dyDescent="0.3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spans="1:24" ht="15.75" customHeight="1" x14ac:dyDescent="0.3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spans="1:24" ht="15.75" customHeight="1" x14ac:dyDescent="0.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spans="1:24" ht="15.75" customHeight="1" x14ac:dyDescent="0.3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spans="1:24" ht="15.75" customHeight="1" x14ac:dyDescent="0.3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spans="1:24" ht="15.75" customHeight="1" x14ac:dyDescent="0.3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spans="1:24" ht="15.75" customHeight="1" x14ac:dyDescent="0.3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spans="1:24" ht="15.75" customHeight="1" x14ac:dyDescent="0.3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spans="1:24" ht="15.75" customHeight="1" x14ac:dyDescent="0.3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spans="1:24" ht="15.75" customHeight="1" x14ac:dyDescent="0.3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spans="1:24" ht="15.75" customHeight="1" x14ac:dyDescent="0.3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spans="1:24" ht="15.75" customHeight="1" x14ac:dyDescent="0.3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spans="1:24" ht="15.75" customHeight="1" x14ac:dyDescent="0.3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spans="1:24" ht="15.75" customHeight="1" x14ac:dyDescent="0.3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spans="1:24" ht="15.75" customHeight="1" x14ac:dyDescent="0.3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spans="1:24" ht="15.75" customHeight="1" x14ac:dyDescent="0.3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spans="1:24" ht="15.75" customHeight="1" x14ac:dyDescent="0.3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spans="1:24" ht="15.75" customHeight="1" x14ac:dyDescent="0.3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spans="1:24" ht="15.75" customHeight="1" x14ac:dyDescent="0.3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spans="1:24" ht="15.75" customHeight="1" x14ac:dyDescent="0.3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spans="1:24" ht="15.75" customHeight="1" x14ac:dyDescent="0.3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spans="1:24" ht="15.75" customHeight="1" x14ac:dyDescent="0.3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spans="1:24" ht="15.75" customHeight="1" x14ac:dyDescent="0.3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spans="1:24" ht="15.75" customHeight="1" x14ac:dyDescent="0.3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spans="1:24" ht="15.75" customHeight="1" x14ac:dyDescent="0.3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spans="1:24" ht="15.75" customHeight="1" x14ac:dyDescent="0.3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spans="1:24" ht="15.75" customHeight="1" x14ac:dyDescent="0.3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spans="1:24" ht="15.75" customHeight="1" x14ac:dyDescent="0.3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spans="1:24" ht="15.75" customHeight="1" x14ac:dyDescent="0.3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spans="1:24" ht="15.75" customHeight="1" x14ac:dyDescent="0.3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spans="1:24" ht="15.75" customHeight="1" x14ac:dyDescent="0.3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spans="1:24" ht="15.75" customHeight="1" x14ac:dyDescent="0.3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spans="1:24" ht="15.75" customHeight="1" x14ac:dyDescent="0.3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spans="1:24" ht="15.75" customHeight="1" x14ac:dyDescent="0.3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spans="1:24" ht="15.75" customHeight="1" x14ac:dyDescent="0.3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spans="1:24" ht="15.75" customHeight="1" x14ac:dyDescent="0.3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spans="1:24" ht="15.75" customHeight="1" x14ac:dyDescent="0.3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spans="1:24" ht="15.75" customHeight="1" x14ac:dyDescent="0.3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spans="1:24" ht="15.75" customHeight="1" x14ac:dyDescent="0.3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spans="1:24" ht="15.75" customHeight="1" x14ac:dyDescent="0.3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spans="1:24" ht="15.75" customHeight="1" x14ac:dyDescent="0.3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spans="1:24" ht="15.75" customHeight="1" x14ac:dyDescent="0.3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spans="1:24" ht="15.75" customHeight="1" x14ac:dyDescent="0.3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spans="1:24" ht="15.75" customHeight="1" x14ac:dyDescent="0.3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spans="1:24" ht="15.75" customHeight="1" x14ac:dyDescent="0.3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spans="1:24" ht="15.75" customHeight="1" x14ac:dyDescent="0.3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spans="1:24" ht="15.75" customHeight="1" x14ac:dyDescent="0.3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spans="1:24" ht="15.75" customHeight="1" x14ac:dyDescent="0.3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spans="1:24" ht="15.75" customHeight="1" x14ac:dyDescent="0.3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spans="1:24" ht="15.75" customHeight="1" x14ac:dyDescent="0.3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spans="1:24" ht="15.75" customHeight="1" x14ac:dyDescent="0.3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spans="1:24" ht="15.75" customHeight="1" x14ac:dyDescent="0.3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spans="1:24" ht="15.75" customHeight="1" x14ac:dyDescent="0.3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spans="1:24" ht="15.75" customHeight="1" x14ac:dyDescent="0.3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spans="1:24" ht="15.75" customHeight="1" x14ac:dyDescent="0.3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spans="1:24" ht="15.75" customHeight="1" x14ac:dyDescent="0.3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spans="1:24" ht="15.75" customHeight="1" x14ac:dyDescent="0.3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spans="1:24" ht="15.75" customHeight="1" x14ac:dyDescent="0.3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spans="1:24" ht="15.75" customHeight="1" x14ac:dyDescent="0.3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spans="1:24" ht="15.75" customHeight="1" x14ac:dyDescent="0.3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spans="1:24" ht="15.75" customHeight="1" x14ac:dyDescent="0.3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spans="1:24" ht="15.75" customHeight="1" x14ac:dyDescent="0.3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spans="1:24" ht="15.75" customHeight="1" x14ac:dyDescent="0.3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spans="1:24" ht="15.75" customHeight="1" x14ac:dyDescent="0.3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spans="1:24" ht="15.75" customHeight="1" x14ac:dyDescent="0.3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spans="1:24" ht="15.75" customHeight="1" x14ac:dyDescent="0.3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spans="1:24" ht="15.75" customHeight="1" x14ac:dyDescent="0.3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spans="1:24" ht="15.75" customHeight="1" x14ac:dyDescent="0.3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spans="1:24" ht="15.75" customHeight="1" x14ac:dyDescent="0.3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spans="1:24" ht="15.75" customHeight="1" x14ac:dyDescent="0.3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spans="1:24" ht="15.75" customHeight="1" x14ac:dyDescent="0.3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spans="1:24" ht="15.75" customHeight="1" x14ac:dyDescent="0.3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spans="1:24" ht="15.75" customHeight="1" x14ac:dyDescent="0.3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spans="1:24" ht="15.75" customHeight="1" x14ac:dyDescent="0.3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spans="1:24" ht="15.75" customHeight="1" x14ac:dyDescent="0.3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spans="1:24" ht="15.75" customHeight="1" x14ac:dyDescent="0.3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spans="1:24" ht="15.75" customHeight="1" x14ac:dyDescent="0.3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spans="1:24" ht="15.75" customHeight="1" x14ac:dyDescent="0.3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spans="1:24" ht="15.75" customHeight="1" x14ac:dyDescent="0.3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spans="1:24" ht="15.75" customHeight="1" x14ac:dyDescent="0.3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spans="1:24" ht="15.75" customHeight="1" x14ac:dyDescent="0.3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spans="1:24" ht="15.75" customHeight="1" x14ac:dyDescent="0.3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spans="1:24" ht="15.75" customHeight="1" x14ac:dyDescent="0.3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spans="1:24" ht="15.75" customHeight="1" x14ac:dyDescent="0.3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spans="1:24" ht="15.75" customHeight="1" x14ac:dyDescent="0.3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spans="1:24" ht="15.75" customHeight="1" x14ac:dyDescent="0.3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spans="1:24" ht="15.75" customHeight="1" x14ac:dyDescent="0.3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spans="1:24" ht="15.75" customHeight="1" x14ac:dyDescent="0.3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spans="1:24" ht="15.75" customHeight="1" x14ac:dyDescent="0.3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spans="1:24" ht="15.75" customHeight="1" x14ac:dyDescent="0.3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spans="1:24" ht="15.75" customHeight="1" x14ac:dyDescent="0.3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spans="1:24" ht="15.75" customHeight="1" x14ac:dyDescent="0.3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spans="1:24" ht="15.75" customHeight="1" x14ac:dyDescent="0.3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spans="1:24" ht="15.75" customHeight="1" x14ac:dyDescent="0.3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spans="1:24" ht="15.75" customHeight="1" x14ac:dyDescent="0.3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spans="1:24" ht="15.75" customHeight="1" x14ac:dyDescent="0.3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spans="1:24" ht="15.75" customHeight="1" x14ac:dyDescent="0.3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spans="1:24" ht="15.75" customHeight="1" x14ac:dyDescent="0.3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spans="1:24" ht="15.75" customHeight="1" x14ac:dyDescent="0.3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spans="1:24" ht="15.75" customHeight="1" x14ac:dyDescent="0.3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spans="1:24" ht="15.75" customHeight="1" x14ac:dyDescent="0.3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spans="1:24" ht="15.75" customHeight="1" x14ac:dyDescent="0.3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spans="1:24" ht="15.75" customHeight="1" x14ac:dyDescent="0.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spans="1:24" ht="15.75" customHeight="1" x14ac:dyDescent="0.3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spans="1:24" ht="15.75" customHeight="1" x14ac:dyDescent="0.3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spans="1:24" ht="15.75" customHeight="1" x14ac:dyDescent="0.3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spans="1:24" ht="15.75" customHeight="1" x14ac:dyDescent="0.3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spans="1:24" ht="15.75" customHeight="1" x14ac:dyDescent="0.3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spans="1:24" ht="15.75" customHeight="1" x14ac:dyDescent="0.3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spans="1:24" ht="15.75" customHeight="1" x14ac:dyDescent="0.3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spans="1:24" ht="15.75" customHeight="1" x14ac:dyDescent="0.3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spans="1:24" ht="15.75" customHeight="1" x14ac:dyDescent="0.3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spans="1:24" ht="15.75" customHeight="1" x14ac:dyDescent="0.3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spans="1:24" ht="15.75" customHeight="1" x14ac:dyDescent="0.3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spans="1:24" ht="15.75" customHeight="1" x14ac:dyDescent="0.3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spans="1:24" ht="15.75" customHeight="1" x14ac:dyDescent="0.3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spans="1:24" ht="15.75" customHeight="1" x14ac:dyDescent="0.3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spans="1:24" ht="15.75" customHeight="1" x14ac:dyDescent="0.3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spans="1:24" ht="15.75" customHeight="1" x14ac:dyDescent="0.3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spans="1:24" ht="15.75" customHeight="1" x14ac:dyDescent="0.3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spans="1:24" ht="15.75" customHeight="1" x14ac:dyDescent="0.3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spans="1:24" ht="15.75" customHeight="1" x14ac:dyDescent="0.3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spans="1:24" ht="15.75" customHeight="1" x14ac:dyDescent="0.3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spans="1:24" ht="15.75" customHeight="1" x14ac:dyDescent="0.3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spans="1:24" ht="15.75" customHeight="1" x14ac:dyDescent="0.3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spans="1:24" ht="15.75" customHeight="1" x14ac:dyDescent="0.3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spans="1:24" ht="15.75" customHeight="1" x14ac:dyDescent="0.3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spans="1:24" ht="15.75" customHeight="1" x14ac:dyDescent="0.3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spans="1:24" ht="15.75" customHeight="1" x14ac:dyDescent="0.3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spans="1:24" ht="15.75" customHeight="1" x14ac:dyDescent="0.3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spans="1:24" ht="15.75" customHeight="1" x14ac:dyDescent="0.3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spans="1:24" ht="15.75" customHeight="1" x14ac:dyDescent="0.3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spans="1:24" ht="15.75" customHeight="1" x14ac:dyDescent="0.3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spans="1:24" ht="15.75" customHeight="1" x14ac:dyDescent="0.3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spans="1:24" ht="15.75" customHeight="1" x14ac:dyDescent="0.3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spans="1:24" ht="15.75" customHeight="1" x14ac:dyDescent="0.3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spans="1:24" ht="15.75" customHeight="1" x14ac:dyDescent="0.3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spans="1:24" ht="15.75" customHeight="1" x14ac:dyDescent="0.3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spans="1:24" ht="15.75" customHeight="1" x14ac:dyDescent="0.3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row r="972" spans="1:24" ht="15.75" customHeight="1" x14ac:dyDescent="0.3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row>
    <row r="973" spans="1:24" ht="15.75" customHeight="1" x14ac:dyDescent="0.3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row>
    <row r="974" spans="1:24" ht="15.75" customHeight="1" x14ac:dyDescent="0.3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row>
    <row r="975" spans="1:24" ht="15.75" customHeight="1" x14ac:dyDescent="0.3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row>
    <row r="976" spans="1:24" ht="15.75" customHeight="1" x14ac:dyDescent="0.3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row>
    <row r="977" spans="1:24" ht="15.75" customHeight="1" x14ac:dyDescent="0.3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row>
    <row r="978" spans="1:24" ht="15.75" customHeight="1" x14ac:dyDescent="0.3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row>
    <row r="979" spans="1:24" ht="15.75" customHeight="1" x14ac:dyDescent="0.3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row>
    <row r="980" spans="1:24" ht="15.75" customHeight="1" x14ac:dyDescent="0.3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row>
    <row r="981" spans="1:24" ht="15.75" customHeight="1" x14ac:dyDescent="0.3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row>
    <row r="982" spans="1:24" ht="15.75" customHeight="1" x14ac:dyDescent="0.3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row>
    <row r="983" spans="1:24" ht="15.75" customHeight="1" x14ac:dyDescent="0.3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row>
    <row r="984" spans="1:24" ht="15.75" customHeight="1" x14ac:dyDescent="0.3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row>
    <row r="985" spans="1:24" ht="15.75" customHeight="1" x14ac:dyDescent="0.3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row>
    <row r="986" spans="1:24" ht="15.75" customHeight="1" x14ac:dyDescent="0.3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row>
    <row r="987" spans="1:24" ht="15.75" customHeight="1" x14ac:dyDescent="0.3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row>
    <row r="988" spans="1:24" ht="15.75" customHeight="1" x14ac:dyDescent="0.3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row>
    <row r="989" spans="1:24" ht="15.75" customHeight="1" x14ac:dyDescent="0.3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row>
    <row r="990" spans="1:24" ht="15.75" customHeight="1" x14ac:dyDescent="0.3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row>
    <row r="991" spans="1:24" ht="15.75" customHeight="1" x14ac:dyDescent="0.3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row>
    <row r="992" spans="1:24" ht="15.75" customHeight="1" x14ac:dyDescent="0.3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row>
    <row r="993" spans="1:24" ht="15.75" customHeight="1" x14ac:dyDescent="0.3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row>
    <row r="994" spans="1:24" ht="15.75" customHeight="1" x14ac:dyDescent="0.3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row>
    <row r="995" spans="1:24" ht="15.75" customHeight="1" x14ac:dyDescent="0.3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row>
    <row r="996" spans="1:24" ht="15.75" customHeight="1" x14ac:dyDescent="0.3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row>
    <row r="997" spans="1:24" ht="15.75" customHeight="1" x14ac:dyDescent="0.3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row>
    <row r="998" spans="1:24" ht="15.75" customHeight="1" x14ac:dyDescent="0.3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row>
    <row r="999" spans="1:24" ht="15.75" customHeight="1" x14ac:dyDescent="0.3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row>
    <row r="1000" spans="1:24" ht="15.75" customHeight="1" x14ac:dyDescent="0.3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row>
    <row r="1001" spans="1:24" ht="15.75" customHeight="1" x14ac:dyDescent="0.3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row>
    <row r="1002" spans="1:24" ht="15.75" customHeight="1" x14ac:dyDescent="0.3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row>
    <row r="1003" spans="1:24" ht="15.75" customHeight="1" x14ac:dyDescent="0.3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4"/>
  <sheetViews>
    <sheetView tabSelected="1" topLeftCell="B7" workbookViewId="0">
      <selection activeCell="C13" sqref="C13"/>
    </sheetView>
  </sheetViews>
  <sheetFormatPr defaultColWidth="14.453125" defaultRowHeight="14.5" x14ac:dyDescent="0.35"/>
  <cols>
    <col min="1" max="1" width="15.1796875" style="2" customWidth="1"/>
    <col min="2" max="2" width="18.81640625" style="2" customWidth="1"/>
    <col min="3" max="3" width="86" style="2" customWidth="1"/>
    <col min="4" max="4" width="92.54296875" style="2" hidden="1" customWidth="1"/>
    <col min="5" max="12" width="9.1796875" style="2" customWidth="1"/>
    <col min="13" max="13" width="13" style="2" customWidth="1"/>
    <col min="14" max="14" width="9.1796875" style="2" customWidth="1"/>
    <col min="15" max="24" width="8.81640625" style="2" customWidth="1"/>
    <col min="25" max="16384" width="14.453125" style="2"/>
  </cols>
  <sheetData>
    <row r="1" spans="1:24" ht="29" x14ac:dyDescent="0.35">
      <c r="A1" s="12" t="s">
        <v>54</v>
      </c>
      <c r="B1" s="12" t="s">
        <v>55</v>
      </c>
      <c r="C1" s="12" t="s">
        <v>58</v>
      </c>
      <c r="D1" s="12" t="s">
        <v>59</v>
      </c>
      <c r="E1" s="12" t="s">
        <v>41</v>
      </c>
      <c r="F1" s="12" t="s">
        <v>45</v>
      </c>
      <c r="G1" s="14" t="s">
        <v>46</v>
      </c>
      <c r="H1" s="12" t="s">
        <v>47</v>
      </c>
      <c r="I1" s="12" t="s">
        <v>48</v>
      </c>
      <c r="J1" s="12" t="s">
        <v>49</v>
      </c>
      <c r="K1" s="12" t="s">
        <v>50</v>
      </c>
      <c r="L1" s="12" t="s">
        <v>51</v>
      </c>
      <c r="M1" s="13" t="s">
        <v>52</v>
      </c>
      <c r="N1" s="12" t="s">
        <v>53</v>
      </c>
      <c r="O1" s="15"/>
      <c r="P1" s="15"/>
      <c r="Q1" s="15"/>
      <c r="R1" s="15"/>
      <c r="S1" s="15"/>
      <c r="T1" s="15"/>
      <c r="U1" s="15"/>
      <c r="V1" s="15"/>
      <c r="W1" s="15"/>
      <c r="X1" s="15"/>
    </row>
    <row r="2" spans="1:24" x14ac:dyDescent="0.35">
      <c r="A2" s="49" t="s">
        <v>328</v>
      </c>
      <c r="B2" s="9"/>
      <c r="C2" s="10" t="s">
        <v>540</v>
      </c>
      <c r="D2" s="9" t="s">
        <v>318</v>
      </c>
      <c r="E2" s="9" t="s">
        <v>308</v>
      </c>
      <c r="F2" s="9"/>
      <c r="G2" s="9"/>
      <c r="H2" s="9"/>
      <c r="I2" s="9"/>
      <c r="J2" s="9"/>
      <c r="K2" s="9"/>
      <c r="L2" s="9"/>
      <c r="M2" s="9"/>
      <c r="N2" s="9"/>
      <c r="O2" s="48"/>
      <c r="P2" s="48"/>
      <c r="Q2" s="48"/>
      <c r="R2" s="48"/>
      <c r="S2" s="48"/>
      <c r="T2" s="48"/>
      <c r="U2" s="48"/>
      <c r="V2" s="48"/>
      <c r="W2" s="48"/>
      <c r="X2" s="48"/>
    </row>
    <row r="3" spans="1:24" ht="29" x14ac:dyDescent="0.35">
      <c r="A3" s="81" t="s">
        <v>330</v>
      </c>
      <c r="B3" s="78"/>
      <c r="C3" s="10" t="s">
        <v>599</v>
      </c>
      <c r="D3" s="78"/>
      <c r="E3" s="78" t="s">
        <v>308</v>
      </c>
      <c r="F3" s="78"/>
      <c r="G3" s="78"/>
      <c r="H3" s="78"/>
      <c r="I3" s="78"/>
      <c r="J3" s="78"/>
      <c r="K3" s="78"/>
      <c r="L3" s="78"/>
      <c r="M3" s="78"/>
      <c r="N3" s="78"/>
      <c r="O3" s="48"/>
      <c r="P3" s="48"/>
      <c r="Q3" s="48"/>
      <c r="R3" s="48"/>
      <c r="S3" s="48"/>
      <c r="T3" s="48"/>
      <c r="U3" s="48"/>
      <c r="V3" s="48"/>
      <c r="W3" s="48"/>
      <c r="X3" s="48"/>
    </row>
    <row r="4" spans="1:24" x14ac:dyDescent="0.35">
      <c r="A4" s="81" t="s">
        <v>331</v>
      </c>
      <c r="B4" s="9"/>
      <c r="C4" s="9" t="s">
        <v>541</v>
      </c>
      <c r="D4" s="9" t="s">
        <v>320</v>
      </c>
      <c r="E4" s="9" t="s">
        <v>308</v>
      </c>
      <c r="F4" s="9"/>
      <c r="G4" s="9"/>
      <c r="H4" s="9"/>
      <c r="I4" s="9"/>
      <c r="J4" s="9"/>
      <c r="K4" s="9"/>
      <c r="L4" s="9"/>
      <c r="M4" s="9"/>
      <c r="N4" s="9"/>
      <c r="O4" s="48"/>
      <c r="P4" s="48"/>
      <c r="Q4" s="48"/>
      <c r="R4" s="48"/>
      <c r="S4" s="48"/>
      <c r="T4" s="48"/>
      <c r="U4" s="48"/>
      <c r="V4" s="48"/>
      <c r="W4" s="48"/>
      <c r="X4" s="48"/>
    </row>
    <row r="5" spans="1:24" x14ac:dyDescent="0.35">
      <c r="A5" s="81" t="s">
        <v>332</v>
      </c>
      <c r="B5" s="9"/>
      <c r="C5" s="9" t="s">
        <v>542</v>
      </c>
      <c r="D5" s="9" t="s">
        <v>322</v>
      </c>
      <c r="E5" s="9" t="s">
        <v>308</v>
      </c>
      <c r="F5" s="9"/>
      <c r="G5" s="9"/>
      <c r="H5" s="9"/>
      <c r="I5" s="9"/>
      <c r="J5" s="9"/>
      <c r="K5" s="9"/>
      <c r="L5" s="9"/>
      <c r="M5" s="9"/>
      <c r="N5" s="9"/>
      <c r="O5" s="48"/>
      <c r="P5" s="48"/>
      <c r="Q5" s="48"/>
      <c r="R5" s="48"/>
      <c r="S5" s="48"/>
      <c r="T5" s="48"/>
      <c r="U5" s="48"/>
      <c r="V5" s="48"/>
      <c r="W5" s="48"/>
      <c r="X5" s="48"/>
    </row>
    <row r="6" spans="1:24" x14ac:dyDescent="0.35">
      <c r="A6" s="81" t="s">
        <v>333</v>
      </c>
      <c r="B6" s="9"/>
      <c r="C6" s="9" t="s">
        <v>543</v>
      </c>
      <c r="D6" s="9" t="s">
        <v>324</v>
      </c>
      <c r="E6" s="9" t="s">
        <v>308</v>
      </c>
      <c r="F6" s="9"/>
      <c r="G6" s="9"/>
      <c r="H6" s="9"/>
      <c r="I6" s="9"/>
      <c r="J6" s="9"/>
      <c r="K6" s="9"/>
      <c r="L6" s="9"/>
      <c r="M6" s="9"/>
      <c r="N6" s="9"/>
      <c r="O6" s="48"/>
      <c r="P6" s="48"/>
      <c r="Q6" s="48"/>
      <c r="R6" s="48"/>
      <c r="S6" s="48"/>
      <c r="T6" s="48"/>
      <c r="U6" s="48"/>
      <c r="V6" s="48"/>
      <c r="W6" s="48"/>
      <c r="X6" s="48"/>
    </row>
    <row r="7" spans="1:24" x14ac:dyDescent="0.35">
      <c r="A7" s="81" t="s">
        <v>334</v>
      </c>
      <c r="B7" s="9"/>
      <c r="C7" s="9" t="s">
        <v>544</v>
      </c>
      <c r="D7" s="9" t="s">
        <v>325</v>
      </c>
      <c r="E7" s="9" t="s">
        <v>308</v>
      </c>
      <c r="F7" s="9"/>
      <c r="G7" s="9"/>
      <c r="H7" s="9"/>
      <c r="I7" s="9"/>
      <c r="J7" s="9"/>
      <c r="K7" s="9"/>
      <c r="L7" s="9"/>
      <c r="M7" s="9"/>
      <c r="N7" s="9"/>
      <c r="O7" s="48"/>
      <c r="P7" s="48"/>
      <c r="Q7" s="48"/>
      <c r="R7" s="48"/>
      <c r="S7" s="48"/>
      <c r="T7" s="48"/>
      <c r="U7" s="48"/>
      <c r="V7" s="48"/>
      <c r="W7" s="48"/>
      <c r="X7" s="48"/>
    </row>
    <row r="8" spans="1:24" x14ac:dyDescent="0.35">
      <c r="A8" s="81" t="s">
        <v>335</v>
      </c>
      <c r="B8" s="9"/>
      <c r="C8" s="9" t="s">
        <v>605</v>
      </c>
      <c r="D8" s="9"/>
      <c r="E8" s="52" t="s">
        <v>308</v>
      </c>
      <c r="F8" s="9"/>
      <c r="G8" s="9"/>
      <c r="H8" s="9"/>
      <c r="I8" s="9"/>
      <c r="J8" s="9"/>
      <c r="K8" s="9"/>
      <c r="L8" s="9"/>
      <c r="M8" s="9"/>
      <c r="N8" s="9"/>
      <c r="O8" s="48"/>
      <c r="P8" s="48"/>
      <c r="Q8" s="48"/>
      <c r="R8" s="48"/>
      <c r="S8" s="48"/>
      <c r="T8" s="48"/>
      <c r="U8" s="48"/>
      <c r="V8" s="48"/>
      <c r="W8" s="48"/>
      <c r="X8" s="48"/>
    </row>
    <row r="9" spans="1:24" ht="43.5" x14ac:dyDescent="0.35">
      <c r="A9" s="81" t="s">
        <v>329</v>
      </c>
      <c r="B9" s="9"/>
      <c r="C9" s="10" t="s">
        <v>600</v>
      </c>
      <c r="D9" s="9"/>
      <c r="E9" s="52" t="s">
        <v>308</v>
      </c>
      <c r="F9" s="9"/>
      <c r="G9" s="9"/>
      <c r="H9" s="9"/>
      <c r="I9" s="9"/>
      <c r="J9" s="9"/>
      <c r="K9" s="9"/>
      <c r="L9" s="9"/>
      <c r="M9" s="9"/>
      <c r="N9" s="9"/>
      <c r="O9" s="48"/>
      <c r="P9" s="48"/>
      <c r="Q9" s="48"/>
      <c r="R9" s="48"/>
      <c r="S9" s="48"/>
      <c r="T9" s="48"/>
      <c r="U9" s="48"/>
      <c r="V9" s="48"/>
      <c r="W9" s="48"/>
      <c r="X9" s="48"/>
    </row>
    <row r="10" spans="1:24" ht="29" x14ac:dyDescent="0.35">
      <c r="A10" s="81" t="s">
        <v>358</v>
      </c>
      <c r="B10" s="9"/>
      <c r="C10" s="10" t="s">
        <v>608</v>
      </c>
      <c r="D10" s="9"/>
      <c r="E10" s="52" t="s">
        <v>308</v>
      </c>
      <c r="F10" s="9"/>
      <c r="G10" s="9"/>
      <c r="H10" s="9"/>
      <c r="I10" s="9"/>
      <c r="J10" s="9"/>
      <c r="K10" s="9"/>
      <c r="L10" s="9"/>
      <c r="M10" s="9"/>
      <c r="N10" s="9"/>
      <c r="O10" s="48"/>
      <c r="P10" s="48"/>
      <c r="Q10" s="48"/>
      <c r="R10" s="48"/>
      <c r="S10" s="48"/>
      <c r="T10" s="48"/>
      <c r="U10" s="48"/>
      <c r="V10" s="48"/>
      <c r="W10" s="48"/>
      <c r="X10" s="48"/>
    </row>
    <row r="11" spans="1:24" x14ac:dyDescent="0.35">
      <c r="A11" s="81" t="s">
        <v>337</v>
      </c>
      <c r="B11" s="9"/>
      <c r="C11" s="10" t="s">
        <v>545</v>
      </c>
      <c r="D11" s="9"/>
      <c r="E11" s="52" t="s">
        <v>308</v>
      </c>
      <c r="F11" s="9"/>
      <c r="G11" s="9"/>
      <c r="H11" s="9"/>
      <c r="I11" s="9"/>
      <c r="J11" s="9"/>
      <c r="K11" s="9"/>
      <c r="L11" s="9"/>
      <c r="M11" s="9"/>
      <c r="N11" s="9"/>
      <c r="O11" s="48"/>
      <c r="P11" s="48"/>
      <c r="Q11" s="48"/>
      <c r="R11" s="48"/>
      <c r="S11" s="48"/>
      <c r="T11" s="48"/>
      <c r="U11" s="48"/>
      <c r="V11" s="48"/>
      <c r="W11" s="48"/>
      <c r="X11" s="48"/>
    </row>
    <row r="12" spans="1:24" x14ac:dyDescent="0.35">
      <c r="A12" s="81" t="s">
        <v>359</v>
      </c>
      <c r="B12" s="9"/>
      <c r="C12" s="10" t="s">
        <v>546</v>
      </c>
      <c r="D12" s="9"/>
      <c r="E12" s="52" t="s">
        <v>308</v>
      </c>
      <c r="F12" s="9"/>
      <c r="G12" s="9"/>
      <c r="H12" s="9"/>
      <c r="I12" s="9"/>
      <c r="J12" s="9"/>
      <c r="K12" s="9"/>
      <c r="L12" s="9"/>
      <c r="M12" s="9"/>
      <c r="N12" s="9"/>
      <c r="O12" s="48"/>
      <c r="P12" s="48"/>
      <c r="Q12" s="48"/>
      <c r="R12" s="48"/>
      <c r="S12" s="48"/>
      <c r="T12" s="48"/>
      <c r="U12" s="48"/>
      <c r="V12" s="48"/>
      <c r="W12" s="48"/>
      <c r="X12" s="48"/>
    </row>
    <row r="13" spans="1:24" ht="29" x14ac:dyDescent="0.35">
      <c r="A13" s="81" t="s">
        <v>360</v>
      </c>
      <c r="B13" s="9"/>
      <c r="C13" s="10" t="s">
        <v>550</v>
      </c>
      <c r="D13" s="9"/>
      <c r="E13" s="52" t="s">
        <v>308</v>
      </c>
      <c r="F13" s="9"/>
      <c r="G13" s="9"/>
      <c r="H13" s="9"/>
      <c r="I13" s="9"/>
      <c r="J13" s="9"/>
      <c r="K13" s="9"/>
      <c r="L13" s="82"/>
      <c r="M13" s="82"/>
      <c r="N13" s="82"/>
      <c r="O13" s="48"/>
      <c r="P13" s="48"/>
      <c r="Q13" s="48"/>
      <c r="R13" s="48"/>
      <c r="S13" s="48"/>
      <c r="T13" s="48"/>
      <c r="U13" s="48"/>
      <c r="V13" s="48"/>
      <c r="W13" s="48"/>
      <c r="X13" s="48"/>
    </row>
    <row r="14" spans="1:24" x14ac:dyDescent="0.35">
      <c r="A14" s="81" t="s">
        <v>361</v>
      </c>
      <c r="B14" s="9"/>
      <c r="C14" s="10" t="s">
        <v>551</v>
      </c>
      <c r="D14" s="9"/>
      <c r="E14" s="52" t="s">
        <v>308</v>
      </c>
      <c r="F14" s="9"/>
      <c r="G14" s="9"/>
      <c r="H14" s="9"/>
      <c r="I14" s="9"/>
      <c r="J14" s="9"/>
      <c r="K14" s="104"/>
      <c r="L14" s="56"/>
      <c r="M14" s="56"/>
      <c r="N14" s="56"/>
      <c r="O14" s="48"/>
      <c r="P14" s="48"/>
      <c r="Q14" s="48"/>
      <c r="R14" s="48"/>
      <c r="S14" s="48"/>
      <c r="T14" s="48"/>
      <c r="U14" s="48"/>
      <c r="V14" s="48"/>
      <c r="W14" s="48"/>
      <c r="X14" s="48"/>
    </row>
    <row r="15" spans="1:24" x14ac:dyDescent="0.35">
      <c r="A15" s="81" t="s">
        <v>362</v>
      </c>
      <c r="B15" s="9"/>
      <c r="C15" s="9" t="s">
        <v>552</v>
      </c>
      <c r="D15" s="9"/>
      <c r="E15" s="9" t="s">
        <v>308</v>
      </c>
      <c r="F15" s="9"/>
      <c r="G15" s="9"/>
      <c r="H15" s="9"/>
      <c r="I15" s="9"/>
      <c r="J15" s="9"/>
      <c r="K15" s="104"/>
      <c r="L15" s="56"/>
      <c r="M15" s="56"/>
      <c r="N15" s="56"/>
      <c r="O15" s="48"/>
      <c r="P15" s="48"/>
      <c r="Q15" s="48"/>
      <c r="R15" s="48"/>
      <c r="S15" s="48"/>
      <c r="T15" s="48"/>
      <c r="U15" s="48"/>
      <c r="V15" s="48"/>
      <c r="W15" s="48"/>
      <c r="X15" s="48"/>
    </row>
    <row r="16" spans="1:24" x14ac:dyDescent="0.35">
      <c r="A16" s="81" t="s">
        <v>363</v>
      </c>
      <c r="B16" s="9"/>
      <c r="C16" s="9" t="s">
        <v>547</v>
      </c>
      <c r="D16" s="9"/>
      <c r="E16" s="9" t="s">
        <v>308</v>
      </c>
      <c r="F16" s="9"/>
      <c r="G16" s="9"/>
      <c r="H16" s="9"/>
      <c r="I16" s="9"/>
      <c r="J16" s="9"/>
      <c r="K16" s="104"/>
      <c r="L16" s="56"/>
      <c r="M16" s="56"/>
      <c r="N16" s="56"/>
      <c r="O16" s="48"/>
      <c r="P16" s="48"/>
      <c r="Q16" s="48"/>
      <c r="R16" s="48"/>
      <c r="S16" s="48"/>
      <c r="T16" s="48"/>
      <c r="U16" s="48"/>
      <c r="V16" s="48"/>
      <c r="W16" s="48"/>
      <c r="X16" s="48"/>
    </row>
    <row r="17" spans="1:24" ht="30" customHeight="1" x14ac:dyDescent="0.35">
      <c r="A17" s="81" t="s">
        <v>364</v>
      </c>
      <c r="B17" s="56"/>
      <c r="C17" s="70" t="s">
        <v>553</v>
      </c>
      <c r="D17" s="106"/>
      <c r="E17" s="56" t="s">
        <v>308</v>
      </c>
      <c r="F17" s="56"/>
      <c r="G17" s="56"/>
      <c r="H17" s="56"/>
      <c r="I17" s="56"/>
      <c r="J17" s="56"/>
      <c r="K17" s="56"/>
      <c r="L17" s="110"/>
      <c r="M17" s="51"/>
      <c r="N17" s="51"/>
      <c r="O17" s="48"/>
      <c r="P17" s="48"/>
      <c r="Q17" s="48"/>
      <c r="R17" s="48"/>
      <c r="S17" s="48"/>
      <c r="T17" s="48"/>
      <c r="U17" s="48"/>
      <c r="V17" s="48"/>
    </row>
    <row r="18" spans="1:24" x14ac:dyDescent="0.35">
      <c r="A18" s="81" t="s">
        <v>365</v>
      </c>
      <c r="B18" s="67"/>
      <c r="C18" s="68" t="s">
        <v>554</v>
      </c>
      <c r="D18" s="106"/>
      <c r="E18" s="56" t="s">
        <v>308</v>
      </c>
      <c r="F18" s="56"/>
      <c r="G18" s="56"/>
      <c r="H18" s="56"/>
      <c r="I18" s="56"/>
      <c r="J18" s="56"/>
      <c r="K18" s="56"/>
      <c r="L18" s="106"/>
      <c r="M18" s="51"/>
      <c r="N18" s="51"/>
      <c r="O18" s="48"/>
      <c r="P18" s="48"/>
      <c r="Q18" s="48"/>
      <c r="R18" s="48"/>
      <c r="S18" s="48"/>
      <c r="T18" s="48"/>
      <c r="U18" s="48"/>
      <c r="V18" s="48"/>
    </row>
    <row r="19" spans="1:24" ht="29" x14ac:dyDescent="0.35">
      <c r="A19" s="81" t="s">
        <v>560</v>
      </c>
      <c r="B19" s="67"/>
      <c r="C19" s="68" t="s">
        <v>555</v>
      </c>
      <c r="D19" s="106"/>
      <c r="E19" s="56" t="s">
        <v>308</v>
      </c>
      <c r="F19" s="56"/>
      <c r="G19" s="56"/>
      <c r="H19" s="56"/>
      <c r="I19" s="56"/>
      <c r="J19" s="56"/>
      <c r="K19" s="56"/>
      <c r="L19" s="56"/>
      <c r="M19" s="51"/>
      <c r="N19" s="51"/>
      <c r="O19" s="48"/>
      <c r="P19" s="48"/>
      <c r="Q19" s="48"/>
      <c r="R19" s="48"/>
      <c r="S19" s="48"/>
      <c r="T19" s="48"/>
      <c r="U19" s="48"/>
      <c r="V19" s="48"/>
    </row>
    <row r="20" spans="1:24" ht="29" x14ac:dyDescent="0.35">
      <c r="A20" s="81" t="s">
        <v>561</v>
      </c>
      <c r="B20" s="56"/>
      <c r="C20" s="57" t="s">
        <v>558</v>
      </c>
      <c r="D20" s="66"/>
      <c r="E20" s="52" t="s">
        <v>308</v>
      </c>
      <c r="F20" s="56"/>
      <c r="G20" s="56"/>
      <c r="H20" s="56"/>
      <c r="I20" s="56"/>
      <c r="J20" s="56"/>
      <c r="K20" s="56"/>
      <c r="L20" s="56"/>
      <c r="M20" s="51"/>
      <c r="N20" s="51"/>
      <c r="O20" s="48"/>
      <c r="P20" s="48"/>
      <c r="Q20" s="48"/>
      <c r="R20" s="48"/>
      <c r="S20" s="48"/>
      <c r="T20" s="48"/>
      <c r="U20" s="48"/>
      <c r="V20" s="48"/>
    </row>
    <row r="21" spans="1:24" x14ac:dyDescent="0.35">
      <c r="A21" s="81" t="s">
        <v>562</v>
      </c>
      <c r="B21" s="111"/>
      <c r="C21" s="111" t="s">
        <v>559</v>
      </c>
      <c r="D21" s="53"/>
      <c r="E21" s="50" t="s">
        <v>308</v>
      </c>
      <c r="F21" s="111"/>
      <c r="G21" s="111"/>
      <c r="H21" s="111"/>
      <c r="I21" s="111"/>
      <c r="J21" s="111"/>
      <c r="K21" s="111"/>
      <c r="L21" s="111"/>
      <c r="M21" s="111"/>
      <c r="N21" s="111"/>
      <c r="O21" s="48"/>
      <c r="P21" s="48"/>
      <c r="Q21" s="48"/>
      <c r="R21" s="48"/>
      <c r="S21" s="48"/>
      <c r="T21" s="48"/>
      <c r="U21" s="48"/>
      <c r="V21" s="48"/>
      <c r="W21" s="48"/>
      <c r="X21" s="48"/>
    </row>
    <row r="22" spans="1:24" x14ac:dyDescent="0.35">
      <c r="A22" s="81" t="s">
        <v>563</v>
      </c>
      <c r="B22" s="56"/>
      <c r="C22" s="57" t="s">
        <v>548</v>
      </c>
      <c r="D22" s="57"/>
      <c r="E22" s="56" t="s">
        <v>308</v>
      </c>
      <c r="F22" s="56"/>
      <c r="G22" s="56"/>
      <c r="H22" s="56"/>
      <c r="I22" s="56"/>
      <c r="J22" s="56"/>
      <c r="K22" s="56"/>
      <c r="L22" s="56"/>
      <c r="M22" s="56"/>
      <c r="N22" s="56"/>
      <c r="O22" s="48"/>
      <c r="P22" s="48"/>
      <c r="Q22" s="48"/>
      <c r="R22" s="48"/>
      <c r="S22" s="48"/>
      <c r="T22" s="48"/>
      <c r="U22" s="48"/>
      <c r="V22" s="48"/>
      <c r="W22" s="48"/>
      <c r="X22" s="48"/>
    </row>
    <row r="23" spans="1:24" ht="29" x14ac:dyDescent="0.35">
      <c r="A23" s="81" t="s">
        <v>564</v>
      </c>
      <c r="B23" s="51"/>
      <c r="C23" s="55" t="s">
        <v>549</v>
      </c>
      <c r="D23" s="54"/>
      <c r="E23" s="52" t="s">
        <v>308</v>
      </c>
      <c r="F23" s="51"/>
      <c r="G23" s="51"/>
      <c r="H23" s="51"/>
      <c r="I23" s="51"/>
      <c r="J23" s="51"/>
      <c r="K23" s="51"/>
      <c r="L23" s="51"/>
      <c r="M23" s="51"/>
      <c r="N23" s="51"/>
      <c r="O23" s="48"/>
      <c r="P23" s="48"/>
      <c r="Q23" s="48"/>
      <c r="R23" s="48"/>
      <c r="S23" s="48"/>
      <c r="T23" s="48"/>
      <c r="U23" s="48"/>
      <c r="V23" s="48"/>
      <c r="W23" s="48"/>
      <c r="X23" s="48"/>
    </row>
    <row r="24" spans="1:24" ht="29" x14ac:dyDescent="0.35">
      <c r="A24" s="81" t="s">
        <v>601</v>
      </c>
      <c r="B24" s="51"/>
      <c r="C24" s="55" t="s">
        <v>565</v>
      </c>
      <c r="D24" s="48"/>
      <c r="E24" s="52" t="s">
        <v>308</v>
      </c>
      <c r="F24" s="48"/>
      <c r="G24" s="48"/>
      <c r="H24" s="48"/>
      <c r="I24" s="48"/>
      <c r="J24" s="48"/>
      <c r="K24" s="48"/>
      <c r="L24" s="48"/>
      <c r="M24" s="48"/>
      <c r="N24" s="48"/>
      <c r="O24" s="48"/>
      <c r="P24" s="48"/>
      <c r="Q24" s="48"/>
      <c r="R24" s="48"/>
      <c r="S24" s="48"/>
      <c r="T24" s="48"/>
      <c r="U24" s="48"/>
      <c r="V24" s="48"/>
      <c r="W24" s="48"/>
      <c r="X24" s="48"/>
    </row>
    <row r="25" spans="1:24" ht="15.75" customHeight="1" x14ac:dyDescent="0.35">
      <c r="A25" s="48"/>
      <c r="B25" s="48"/>
      <c r="C25" s="48"/>
      <c r="D25" s="48"/>
      <c r="E25" s="48"/>
      <c r="F25" s="48"/>
      <c r="G25" s="48"/>
      <c r="H25" s="48"/>
      <c r="I25" s="48"/>
      <c r="J25" s="48"/>
      <c r="K25" s="48"/>
      <c r="L25" s="48"/>
      <c r="M25" s="48"/>
      <c r="N25" s="48"/>
      <c r="O25" s="48"/>
      <c r="P25" s="48"/>
      <c r="Q25" s="48"/>
      <c r="R25" s="48"/>
      <c r="S25" s="48"/>
      <c r="T25" s="48"/>
      <c r="U25" s="48"/>
      <c r="V25" s="48"/>
      <c r="W25" s="48"/>
      <c r="X25" s="48"/>
    </row>
    <row r="26" spans="1:24" ht="15.75" customHeight="1" x14ac:dyDescent="0.35">
      <c r="A26" s="48"/>
      <c r="B26" s="48"/>
      <c r="C26" s="48"/>
      <c r="D26" s="48"/>
      <c r="E26" s="48"/>
      <c r="F26" s="48"/>
      <c r="G26" s="48"/>
      <c r="H26" s="48"/>
      <c r="I26" s="48"/>
      <c r="J26" s="48"/>
      <c r="K26" s="48"/>
      <c r="L26" s="48"/>
      <c r="M26" s="48"/>
      <c r="N26" s="48"/>
      <c r="O26" s="48"/>
      <c r="P26" s="48"/>
      <c r="Q26" s="48"/>
      <c r="R26" s="48"/>
      <c r="S26" s="48"/>
      <c r="T26" s="48"/>
      <c r="U26" s="48"/>
      <c r="V26" s="48"/>
      <c r="W26" s="48"/>
      <c r="X26" s="48"/>
    </row>
    <row r="27" spans="1:24" ht="15.75" customHeight="1" x14ac:dyDescent="0.35">
      <c r="A27" s="48"/>
      <c r="B27" s="48"/>
      <c r="C27" s="48"/>
      <c r="D27" s="48"/>
      <c r="E27" s="48"/>
      <c r="F27" s="48"/>
      <c r="G27" s="48"/>
      <c r="H27" s="48"/>
      <c r="I27" s="48"/>
      <c r="J27" s="48"/>
      <c r="K27" s="48"/>
      <c r="L27" s="48"/>
      <c r="M27" s="48"/>
      <c r="N27" s="48"/>
      <c r="O27" s="48"/>
      <c r="P27" s="48"/>
      <c r="Q27" s="48"/>
      <c r="R27" s="48"/>
      <c r="S27" s="48"/>
      <c r="T27" s="48"/>
      <c r="U27" s="48"/>
      <c r="V27" s="48"/>
      <c r="W27" s="48"/>
      <c r="X27" s="48"/>
    </row>
    <row r="28" spans="1:24" ht="15.75" customHeight="1" x14ac:dyDescent="0.35">
      <c r="A28" s="48"/>
      <c r="B28" s="48"/>
      <c r="C28" s="48"/>
      <c r="D28" s="48"/>
      <c r="E28" s="48"/>
      <c r="F28" s="48"/>
      <c r="G28" s="48"/>
      <c r="H28" s="48"/>
      <c r="I28" s="48"/>
      <c r="J28" s="48"/>
      <c r="K28" s="48"/>
      <c r="L28" s="48"/>
      <c r="M28" s="48"/>
      <c r="N28" s="48"/>
      <c r="O28" s="48"/>
      <c r="P28" s="48"/>
      <c r="Q28" s="48"/>
      <c r="R28" s="48"/>
      <c r="S28" s="48"/>
      <c r="T28" s="48"/>
      <c r="U28" s="48"/>
      <c r="V28" s="48"/>
      <c r="W28" s="48"/>
      <c r="X28" s="48"/>
    </row>
    <row r="29" spans="1:24" ht="15.75" customHeight="1" x14ac:dyDescent="0.35">
      <c r="A29" s="48"/>
      <c r="B29" s="48"/>
      <c r="C29" s="48"/>
      <c r="D29" s="48"/>
      <c r="E29" s="48"/>
      <c r="F29" s="48"/>
      <c r="G29" s="48"/>
      <c r="H29" s="48"/>
      <c r="I29" s="48"/>
      <c r="J29" s="48"/>
      <c r="K29" s="48"/>
      <c r="L29" s="48"/>
      <c r="M29" s="48"/>
      <c r="N29" s="48"/>
      <c r="O29" s="48"/>
      <c r="P29" s="48"/>
      <c r="Q29" s="48"/>
      <c r="R29" s="48"/>
      <c r="S29" s="48"/>
      <c r="T29" s="48"/>
      <c r="U29" s="48"/>
      <c r="V29" s="48"/>
      <c r="W29" s="48"/>
      <c r="X29" s="48"/>
    </row>
    <row r="30" spans="1:24" ht="15.75" customHeight="1" x14ac:dyDescent="0.35">
      <c r="A30" s="48"/>
      <c r="B30" s="48"/>
      <c r="C30" s="48"/>
      <c r="D30" s="48"/>
      <c r="E30" s="48"/>
      <c r="F30" s="48"/>
      <c r="G30" s="48"/>
      <c r="H30" s="48"/>
      <c r="I30" s="48"/>
      <c r="J30" s="48"/>
      <c r="K30" s="48"/>
      <c r="L30" s="48"/>
      <c r="M30" s="48"/>
      <c r="N30" s="48"/>
      <c r="O30" s="48"/>
      <c r="P30" s="48"/>
      <c r="Q30" s="48"/>
      <c r="R30" s="48"/>
      <c r="S30" s="48"/>
      <c r="T30" s="48"/>
      <c r="U30" s="48"/>
      <c r="V30" s="48"/>
      <c r="W30" s="48"/>
      <c r="X30" s="48"/>
    </row>
    <row r="31" spans="1:24" ht="15.75" customHeight="1" x14ac:dyDescent="0.35">
      <c r="A31" s="48"/>
      <c r="B31" s="48"/>
      <c r="C31" s="48"/>
      <c r="D31" s="48"/>
      <c r="E31" s="48"/>
      <c r="F31" s="48"/>
      <c r="G31" s="48"/>
      <c r="H31" s="48"/>
      <c r="I31" s="48"/>
      <c r="J31" s="48"/>
      <c r="K31" s="48"/>
      <c r="L31" s="48"/>
      <c r="M31" s="48"/>
      <c r="N31" s="48"/>
      <c r="O31" s="48"/>
      <c r="P31" s="48"/>
      <c r="Q31" s="48"/>
      <c r="R31" s="48"/>
      <c r="S31" s="48"/>
      <c r="T31" s="48"/>
      <c r="U31" s="48"/>
      <c r="V31" s="48"/>
      <c r="W31" s="48"/>
      <c r="X31" s="48"/>
    </row>
    <row r="32" spans="1:24" ht="15.75" customHeight="1" x14ac:dyDescent="0.35">
      <c r="A32" s="48"/>
      <c r="B32" s="48"/>
      <c r="C32" s="48"/>
      <c r="D32" s="48"/>
      <c r="E32" s="48"/>
      <c r="F32" s="48"/>
      <c r="G32" s="48"/>
      <c r="H32" s="48"/>
      <c r="I32" s="48"/>
      <c r="J32" s="48"/>
      <c r="K32" s="48"/>
      <c r="L32" s="48"/>
      <c r="M32" s="48"/>
      <c r="N32" s="48"/>
      <c r="O32" s="48"/>
      <c r="P32" s="48"/>
      <c r="Q32" s="48"/>
      <c r="R32" s="48"/>
      <c r="S32" s="48"/>
      <c r="T32" s="48"/>
      <c r="U32" s="48"/>
      <c r="V32" s="48"/>
      <c r="W32" s="48"/>
      <c r="X32" s="48"/>
    </row>
    <row r="33" spans="1:24" ht="15.75" customHeight="1" x14ac:dyDescent="0.35">
      <c r="A33" s="48"/>
      <c r="B33" s="48"/>
      <c r="C33" s="48"/>
      <c r="D33" s="48"/>
      <c r="E33" s="48"/>
      <c r="F33" s="48"/>
      <c r="G33" s="48"/>
      <c r="H33" s="48"/>
      <c r="I33" s="48"/>
      <c r="J33" s="48"/>
      <c r="K33" s="48"/>
      <c r="L33" s="48"/>
      <c r="M33" s="48"/>
      <c r="N33" s="48"/>
      <c r="O33" s="48"/>
      <c r="P33" s="48"/>
      <c r="Q33" s="48"/>
      <c r="R33" s="48"/>
      <c r="S33" s="48"/>
      <c r="T33" s="48"/>
      <c r="U33" s="48"/>
      <c r="V33" s="48"/>
      <c r="W33" s="48"/>
      <c r="X33" s="48"/>
    </row>
    <row r="34" spans="1:24" ht="15.75" customHeight="1" x14ac:dyDescent="0.35">
      <c r="A34" s="48"/>
      <c r="B34" s="48"/>
      <c r="C34" s="48"/>
      <c r="D34" s="48"/>
      <c r="E34" s="48"/>
      <c r="F34" s="48"/>
      <c r="G34" s="48"/>
      <c r="H34" s="48"/>
      <c r="I34" s="48"/>
      <c r="J34" s="48"/>
      <c r="K34" s="48"/>
      <c r="L34" s="48"/>
      <c r="M34" s="48"/>
      <c r="N34" s="48"/>
      <c r="O34" s="48"/>
      <c r="P34" s="48"/>
      <c r="Q34" s="48"/>
      <c r="R34" s="48"/>
      <c r="S34" s="48"/>
      <c r="T34" s="48"/>
      <c r="U34" s="48"/>
      <c r="V34" s="48"/>
      <c r="W34" s="48"/>
      <c r="X34" s="48"/>
    </row>
    <row r="35" spans="1:24" ht="15.75" customHeight="1" x14ac:dyDescent="0.35">
      <c r="A35" s="48"/>
      <c r="B35" s="48"/>
      <c r="C35" s="48"/>
      <c r="D35" s="48"/>
      <c r="E35" s="48"/>
      <c r="F35" s="48"/>
      <c r="G35" s="48"/>
      <c r="H35" s="48"/>
      <c r="I35" s="48"/>
      <c r="J35" s="48"/>
      <c r="K35" s="48"/>
      <c r="L35" s="48"/>
      <c r="M35" s="48"/>
      <c r="N35" s="48"/>
      <c r="O35" s="48"/>
      <c r="P35" s="48"/>
      <c r="Q35" s="48"/>
      <c r="R35" s="48"/>
      <c r="S35" s="48"/>
      <c r="T35" s="48"/>
      <c r="U35" s="48"/>
      <c r="V35" s="48"/>
      <c r="W35" s="48"/>
      <c r="X35" s="48"/>
    </row>
    <row r="36" spans="1:24" ht="15.75" customHeight="1" x14ac:dyDescent="0.35">
      <c r="A36" s="48"/>
      <c r="B36" s="48"/>
      <c r="C36" s="48"/>
      <c r="D36" s="48"/>
      <c r="E36" s="48"/>
      <c r="F36" s="48"/>
      <c r="G36" s="48"/>
      <c r="H36" s="48"/>
      <c r="I36" s="48"/>
      <c r="J36" s="48"/>
      <c r="K36" s="48"/>
      <c r="L36" s="48"/>
      <c r="M36" s="48"/>
      <c r="N36" s="48"/>
      <c r="O36" s="48"/>
      <c r="P36" s="48"/>
      <c r="Q36" s="48"/>
      <c r="R36" s="48"/>
      <c r="S36" s="48"/>
      <c r="T36" s="48"/>
      <c r="U36" s="48"/>
      <c r="V36" s="48"/>
      <c r="W36" s="48"/>
      <c r="X36" s="48"/>
    </row>
    <row r="37" spans="1:24" ht="15.75" customHeight="1" x14ac:dyDescent="0.35">
      <c r="A37" s="48"/>
      <c r="B37" s="48"/>
      <c r="C37" s="48"/>
      <c r="D37" s="48"/>
      <c r="E37" s="48"/>
      <c r="F37" s="48"/>
      <c r="G37" s="48"/>
      <c r="H37" s="48"/>
      <c r="I37" s="48"/>
      <c r="J37" s="48"/>
      <c r="K37" s="48"/>
      <c r="L37" s="48"/>
      <c r="M37" s="48"/>
      <c r="N37" s="48"/>
      <c r="O37" s="48"/>
      <c r="P37" s="48"/>
      <c r="Q37" s="48"/>
      <c r="R37" s="48"/>
      <c r="S37" s="48"/>
      <c r="T37" s="48"/>
      <c r="U37" s="48"/>
      <c r="V37" s="48"/>
      <c r="W37" s="48"/>
      <c r="X37" s="48"/>
    </row>
    <row r="38" spans="1:24" ht="15.75" customHeight="1" x14ac:dyDescent="0.35">
      <c r="A38" s="48"/>
      <c r="B38" s="48"/>
      <c r="C38" s="48"/>
      <c r="D38" s="48"/>
      <c r="E38" s="48"/>
      <c r="F38" s="48"/>
      <c r="G38" s="48"/>
      <c r="H38" s="48"/>
      <c r="I38" s="48"/>
      <c r="J38" s="48"/>
      <c r="K38" s="48"/>
      <c r="L38" s="48"/>
      <c r="M38" s="48"/>
      <c r="N38" s="48"/>
      <c r="O38" s="48"/>
      <c r="P38" s="48"/>
      <c r="Q38" s="48"/>
      <c r="R38" s="48"/>
      <c r="S38" s="48"/>
      <c r="T38" s="48"/>
      <c r="U38" s="48"/>
      <c r="V38" s="48"/>
      <c r="W38" s="48"/>
      <c r="X38" s="48"/>
    </row>
    <row r="39" spans="1:24" ht="15.75" customHeight="1" x14ac:dyDescent="0.35">
      <c r="A39" s="48"/>
      <c r="B39" s="48"/>
      <c r="C39" s="48"/>
      <c r="D39" s="48"/>
      <c r="E39" s="48"/>
      <c r="F39" s="48"/>
      <c r="G39" s="48"/>
      <c r="H39" s="48"/>
      <c r="I39" s="48"/>
      <c r="J39" s="48"/>
      <c r="K39" s="48"/>
      <c r="L39" s="48"/>
      <c r="M39" s="48"/>
      <c r="N39" s="48"/>
      <c r="O39" s="48"/>
      <c r="P39" s="48"/>
      <c r="Q39" s="48"/>
      <c r="R39" s="48"/>
      <c r="S39" s="48"/>
      <c r="T39" s="48"/>
      <c r="U39" s="48"/>
      <c r="V39" s="48"/>
      <c r="W39" s="48"/>
      <c r="X39" s="48"/>
    </row>
    <row r="40" spans="1:24" ht="15.75" customHeight="1" x14ac:dyDescent="0.35">
      <c r="A40" s="48"/>
      <c r="B40" s="48"/>
      <c r="C40" s="48"/>
      <c r="D40" s="48"/>
      <c r="E40" s="48"/>
      <c r="F40" s="48"/>
      <c r="G40" s="48"/>
      <c r="H40" s="48"/>
      <c r="I40" s="48"/>
      <c r="J40" s="48"/>
      <c r="K40" s="48"/>
      <c r="L40" s="48"/>
      <c r="M40" s="48"/>
      <c r="N40" s="48"/>
      <c r="O40" s="48"/>
      <c r="P40" s="48"/>
      <c r="Q40" s="48"/>
      <c r="R40" s="48"/>
      <c r="S40" s="48"/>
      <c r="T40" s="48"/>
      <c r="U40" s="48"/>
      <c r="V40" s="48"/>
      <c r="W40" s="48"/>
      <c r="X40" s="48"/>
    </row>
    <row r="41" spans="1:24" ht="15.75" customHeight="1" x14ac:dyDescent="0.35">
      <c r="A41" s="48"/>
      <c r="B41" s="48"/>
      <c r="C41" s="48"/>
      <c r="D41" s="48"/>
      <c r="E41" s="48"/>
      <c r="F41" s="48"/>
      <c r="G41" s="48"/>
      <c r="H41" s="48"/>
      <c r="I41" s="48"/>
      <c r="J41" s="48"/>
      <c r="K41" s="48"/>
      <c r="L41" s="48"/>
      <c r="M41" s="48"/>
      <c r="N41" s="48"/>
      <c r="O41" s="48"/>
      <c r="P41" s="48"/>
      <c r="Q41" s="48"/>
      <c r="R41" s="48"/>
      <c r="S41" s="48"/>
      <c r="T41" s="48"/>
      <c r="U41" s="48"/>
      <c r="V41" s="48"/>
      <c r="W41" s="48"/>
      <c r="X41" s="48"/>
    </row>
    <row r="42" spans="1:24" ht="15.75" customHeight="1" x14ac:dyDescent="0.35">
      <c r="A42" s="48"/>
      <c r="B42" s="48"/>
      <c r="C42" s="48"/>
      <c r="D42" s="48"/>
      <c r="E42" s="48"/>
      <c r="F42" s="48"/>
      <c r="G42" s="48"/>
      <c r="H42" s="48"/>
      <c r="I42" s="48"/>
      <c r="J42" s="48"/>
      <c r="K42" s="48"/>
      <c r="L42" s="48"/>
      <c r="M42" s="48"/>
      <c r="N42" s="48"/>
      <c r="O42" s="48"/>
      <c r="P42" s="48"/>
      <c r="Q42" s="48"/>
      <c r="R42" s="48"/>
      <c r="S42" s="48"/>
      <c r="T42" s="48"/>
      <c r="U42" s="48"/>
      <c r="V42" s="48"/>
      <c r="W42" s="48"/>
      <c r="X42" s="48"/>
    </row>
    <row r="43" spans="1:24" ht="15.75" customHeight="1" x14ac:dyDescent="0.35">
      <c r="A43" s="48"/>
      <c r="B43" s="48"/>
      <c r="C43" s="48"/>
      <c r="D43" s="48"/>
      <c r="E43" s="48"/>
      <c r="F43" s="48"/>
      <c r="G43" s="48"/>
      <c r="H43" s="48"/>
      <c r="I43" s="48"/>
      <c r="J43" s="48"/>
      <c r="K43" s="48"/>
      <c r="L43" s="48"/>
      <c r="M43" s="48"/>
      <c r="N43" s="48"/>
      <c r="O43" s="48"/>
      <c r="P43" s="48"/>
      <c r="Q43" s="48"/>
      <c r="R43" s="48"/>
      <c r="S43" s="48"/>
      <c r="T43" s="48"/>
      <c r="U43" s="48"/>
      <c r="V43" s="48"/>
      <c r="W43" s="48"/>
      <c r="X43" s="48"/>
    </row>
    <row r="44" spans="1:24" ht="15.75" customHeight="1" x14ac:dyDescent="0.35">
      <c r="A44" s="48"/>
      <c r="B44" s="48"/>
      <c r="C44" s="48"/>
      <c r="D44" s="48"/>
      <c r="E44" s="48"/>
      <c r="F44" s="48"/>
      <c r="G44" s="48"/>
      <c r="H44" s="48"/>
      <c r="I44" s="48"/>
      <c r="J44" s="48"/>
      <c r="K44" s="48"/>
      <c r="L44" s="48"/>
      <c r="M44" s="48"/>
      <c r="N44" s="48"/>
      <c r="O44" s="48"/>
      <c r="P44" s="48"/>
      <c r="Q44" s="48"/>
      <c r="R44" s="48"/>
      <c r="S44" s="48"/>
      <c r="T44" s="48"/>
      <c r="U44" s="48"/>
      <c r="V44" s="48"/>
      <c r="W44" s="48"/>
      <c r="X44" s="48"/>
    </row>
    <row r="45" spans="1:24" ht="15.75" customHeight="1" x14ac:dyDescent="0.35">
      <c r="A45" s="48"/>
      <c r="B45" s="48"/>
      <c r="C45" s="48"/>
      <c r="D45" s="48"/>
      <c r="E45" s="48"/>
      <c r="F45" s="48"/>
      <c r="G45" s="48"/>
      <c r="H45" s="48"/>
      <c r="I45" s="48"/>
      <c r="J45" s="48"/>
      <c r="K45" s="48"/>
      <c r="L45" s="48"/>
      <c r="M45" s="48"/>
      <c r="N45" s="48"/>
      <c r="O45" s="48"/>
      <c r="P45" s="48"/>
      <c r="Q45" s="48"/>
      <c r="R45" s="48"/>
      <c r="S45" s="48"/>
      <c r="T45" s="48"/>
      <c r="U45" s="48"/>
      <c r="V45" s="48"/>
      <c r="W45" s="48"/>
      <c r="X45" s="48"/>
    </row>
    <row r="46" spans="1:24" ht="15.75" customHeight="1" x14ac:dyDescent="0.35">
      <c r="A46" s="48"/>
      <c r="B46" s="48"/>
      <c r="C46" s="48"/>
      <c r="D46" s="48"/>
      <c r="E46" s="48"/>
      <c r="F46" s="48"/>
      <c r="G46" s="48"/>
      <c r="H46" s="48"/>
      <c r="I46" s="48"/>
      <c r="J46" s="48"/>
      <c r="K46" s="48"/>
      <c r="L46" s="48"/>
      <c r="M46" s="48"/>
      <c r="N46" s="48"/>
      <c r="O46" s="48"/>
      <c r="P46" s="48"/>
      <c r="Q46" s="48"/>
      <c r="R46" s="48"/>
      <c r="S46" s="48"/>
      <c r="T46" s="48"/>
      <c r="U46" s="48"/>
      <c r="V46" s="48"/>
      <c r="W46" s="48"/>
      <c r="X46" s="48"/>
    </row>
    <row r="47" spans="1:24" ht="15.75" customHeight="1" x14ac:dyDescent="0.35">
      <c r="A47" s="48"/>
      <c r="B47" s="48"/>
      <c r="C47" s="48"/>
      <c r="D47" s="48"/>
      <c r="E47" s="48"/>
      <c r="F47" s="48"/>
      <c r="G47" s="48"/>
      <c r="H47" s="48"/>
      <c r="I47" s="48"/>
      <c r="J47" s="48"/>
      <c r="K47" s="48"/>
      <c r="L47" s="48"/>
      <c r="M47" s="48"/>
      <c r="N47" s="48"/>
      <c r="O47" s="48"/>
      <c r="P47" s="48"/>
      <c r="Q47" s="48"/>
      <c r="R47" s="48"/>
      <c r="S47" s="48"/>
      <c r="T47" s="48"/>
      <c r="U47" s="48"/>
      <c r="V47" s="48"/>
      <c r="W47" s="48"/>
      <c r="X47" s="48"/>
    </row>
    <row r="48" spans="1:24" ht="15.75" customHeight="1" x14ac:dyDescent="0.35">
      <c r="A48" s="48"/>
      <c r="B48" s="48"/>
      <c r="C48" s="48"/>
      <c r="D48" s="48"/>
      <c r="E48" s="48"/>
      <c r="F48" s="48"/>
      <c r="G48" s="48"/>
      <c r="H48" s="48"/>
      <c r="I48" s="48"/>
      <c r="J48" s="48"/>
      <c r="K48" s="48"/>
      <c r="L48" s="48"/>
      <c r="M48" s="48"/>
      <c r="N48" s="48"/>
      <c r="O48" s="48"/>
      <c r="P48" s="48"/>
      <c r="Q48" s="48"/>
      <c r="R48" s="48"/>
      <c r="S48" s="48"/>
      <c r="T48" s="48"/>
      <c r="U48" s="48"/>
      <c r="V48" s="48"/>
      <c r="W48" s="48"/>
      <c r="X48" s="48"/>
    </row>
    <row r="49" spans="1:24" ht="15.75" customHeight="1" x14ac:dyDescent="0.35">
      <c r="A49" s="48"/>
      <c r="B49" s="48"/>
      <c r="C49" s="48"/>
      <c r="D49" s="48"/>
      <c r="E49" s="48"/>
      <c r="F49" s="48"/>
      <c r="G49" s="48"/>
      <c r="H49" s="48"/>
      <c r="I49" s="48"/>
      <c r="J49" s="48"/>
      <c r="K49" s="48"/>
      <c r="L49" s="48"/>
      <c r="M49" s="48"/>
      <c r="N49" s="48"/>
      <c r="O49" s="48"/>
      <c r="P49" s="48"/>
      <c r="Q49" s="48"/>
      <c r="R49" s="48"/>
      <c r="S49" s="48"/>
      <c r="T49" s="48"/>
      <c r="U49" s="48"/>
      <c r="V49" s="48"/>
      <c r="W49" s="48"/>
      <c r="X49" s="48"/>
    </row>
    <row r="50" spans="1:24" ht="15.75" customHeight="1" x14ac:dyDescent="0.35">
      <c r="A50" s="48"/>
      <c r="B50" s="48"/>
      <c r="C50" s="48"/>
      <c r="D50" s="48"/>
      <c r="E50" s="48"/>
      <c r="F50" s="48"/>
      <c r="G50" s="48"/>
      <c r="H50" s="48"/>
      <c r="I50" s="48"/>
      <c r="J50" s="48"/>
      <c r="K50" s="48"/>
      <c r="L50" s="48"/>
      <c r="M50" s="48"/>
      <c r="N50" s="48"/>
      <c r="O50" s="48"/>
      <c r="P50" s="48"/>
      <c r="Q50" s="48"/>
      <c r="R50" s="48"/>
      <c r="S50" s="48"/>
      <c r="T50" s="48"/>
      <c r="U50" s="48"/>
      <c r="V50" s="48"/>
      <c r="W50" s="48"/>
      <c r="X50" s="48"/>
    </row>
    <row r="51" spans="1:24" ht="15.75" customHeight="1" x14ac:dyDescent="0.35">
      <c r="A51" s="48"/>
      <c r="B51" s="48"/>
      <c r="C51" s="48"/>
      <c r="D51" s="48"/>
      <c r="E51" s="48"/>
      <c r="F51" s="48"/>
      <c r="G51" s="48"/>
      <c r="H51" s="48"/>
      <c r="I51" s="48"/>
      <c r="J51" s="48"/>
      <c r="K51" s="48"/>
      <c r="L51" s="48"/>
      <c r="M51" s="48"/>
      <c r="N51" s="48"/>
      <c r="O51" s="48"/>
      <c r="P51" s="48"/>
      <c r="Q51" s="48"/>
      <c r="R51" s="48"/>
      <c r="S51" s="48"/>
      <c r="T51" s="48"/>
      <c r="U51" s="48"/>
      <c r="V51" s="48"/>
      <c r="W51" s="48"/>
      <c r="X51" s="48"/>
    </row>
    <row r="52" spans="1:24" ht="15.75" customHeight="1" x14ac:dyDescent="0.35">
      <c r="A52" s="48"/>
      <c r="B52" s="48"/>
      <c r="C52" s="48"/>
      <c r="D52" s="48"/>
      <c r="E52" s="48"/>
      <c r="F52" s="48"/>
      <c r="G52" s="48"/>
      <c r="H52" s="48"/>
      <c r="I52" s="48"/>
      <c r="J52" s="48"/>
      <c r="K52" s="48"/>
      <c r="L52" s="48"/>
      <c r="M52" s="48"/>
      <c r="N52" s="48"/>
      <c r="O52" s="48"/>
      <c r="P52" s="48"/>
      <c r="Q52" s="48"/>
      <c r="R52" s="48"/>
      <c r="S52" s="48"/>
      <c r="T52" s="48"/>
      <c r="U52" s="48"/>
      <c r="V52" s="48"/>
      <c r="W52" s="48"/>
      <c r="X52" s="48"/>
    </row>
    <row r="53" spans="1:24" ht="15.75" customHeight="1" x14ac:dyDescent="0.35">
      <c r="A53" s="48"/>
      <c r="B53" s="48"/>
      <c r="C53" s="48"/>
      <c r="D53" s="48"/>
      <c r="E53" s="48"/>
      <c r="F53" s="48"/>
      <c r="G53" s="48"/>
      <c r="H53" s="48"/>
      <c r="I53" s="48"/>
      <c r="J53" s="48"/>
      <c r="K53" s="48"/>
      <c r="L53" s="48"/>
      <c r="M53" s="48"/>
      <c r="N53" s="48"/>
      <c r="O53" s="48"/>
      <c r="P53" s="48"/>
      <c r="Q53" s="48"/>
      <c r="R53" s="48"/>
      <c r="S53" s="48"/>
      <c r="T53" s="48"/>
      <c r="U53" s="48"/>
      <c r="V53" s="48"/>
      <c r="W53" s="48"/>
      <c r="X53" s="48"/>
    </row>
    <row r="54" spans="1:24" ht="15.75" customHeight="1" x14ac:dyDescent="0.35">
      <c r="A54" s="48"/>
      <c r="B54" s="48"/>
      <c r="C54" s="48"/>
      <c r="D54" s="48"/>
      <c r="E54" s="48"/>
      <c r="F54" s="48"/>
      <c r="G54" s="48"/>
      <c r="H54" s="48"/>
      <c r="I54" s="48"/>
      <c r="J54" s="48"/>
      <c r="K54" s="48"/>
      <c r="L54" s="48"/>
      <c r="M54" s="48"/>
      <c r="N54" s="48"/>
      <c r="O54" s="48"/>
      <c r="P54" s="48"/>
      <c r="Q54" s="48"/>
      <c r="R54" s="48"/>
      <c r="S54" s="48"/>
      <c r="T54" s="48"/>
      <c r="U54" s="48"/>
      <c r="V54" s="48"/>
      <c r="W54" s="48"/>
      <c r="X54" s="48"/>
    </row>
    <row r="55" spans="1:24" ht="15.75" customHeight="1" x14ac:dyDescent="0.35">
      <c r="A55" s="48"/>
      <c r="B55" s="48"/>
      <c r="C55" s="48"/>
      <c r="D55" s="48"/>
      <c r="E55" s="48"/>
      <c r="F55" s="48"/>
      <c r="G55" s="48"/>
      <c r="H55" s="48"/>
      <c r="I55" s="48"/>
      <c r="J55" s="48"/>
      <c r="K55" s="48"/>
      <c r="L55" s="48"/>
      <c r="M55" s="48"/>
      <c r="N55" s="48"/>
      <c r="O55" s="48"/>
      <c r="P55" s="48"/>
      <c r="Q55" s="48"/>
      <c r="R55" s="48"/>
      <c r="S55" s="48"/>
      <c r="T55" s="48"/>
      <c r="U55" s="48"/>
      <c r="V55" s="48"/>
      <c r="W55" s="48"/>
      <c r="X55" s="48"/>
    </row>
    <row r="56" spans="1:24" ht="15.75" customHeight="1" x14ac:dyDescent="0.35">
      <c r="A56" s="48"/>
      <c r="B56" s="48"/>
      <c r="C56" s="48"/>
      <c r="D56" s="48"/>
      <c r="E56" s="48"/>
      <c r="F56" s="48"/>
      <c r="G56" s="48"/>
      <c r="H56" s="48"/>
      <c r="I56" s="48"/>
      <c r="J56" s="48"/>
      <c r="K56" s="48"/>
      <c r="L56" s="48"/>
      <c r="M56" s="48"/>
      <c r="N56" s="48"/>
      <c r="O56" s="48"/>
      <c r="P56" s="48"/>
      <c r="Q56" s="48"/>
      <c r="R56" s="48"/>
      <c r="S56" s="48"/>
      <c r="T56" s="48"/>
      <c r="U56" s="48"/>
      <c r="V56" s="48"/>
      <c r="W56" s="48"/>
      <c r="X56" s="48"/>
    </row>
    <row r="57" spans="1:24" ht="15.75" customHeight="1" x14ac:dyDescent="0.35">
      <c r="A57" s="48"/>
      <c r="B57" s="48"/>
      <c r="C57" s="48"/>
      <c r="D57" s="48"/>
      <c r="E57" s="48"/>
      <c r="F57" s="48"/>
      <c r="G57" s="48"/>
      <c r="H57" s="48"/>
      <c r="I57" s="48"/>
      <c r="J57" s="48"/>
      <c r="K57" s="48"/>
      <c r="L57" s="48"/>
      <c r="M57" s="48"/>
      <c r="N57" s="48"/>
      <c r="O57" s="48"/>
      <c r="P57" s="48"/>
      <c r="Q57" s="48"/>
      <c r="R57" s="48"/>
      <c r="S57" s="48"/>
      <c r="T57" s="48"/>
      <c r="U57" s="48"/>
      <c r="V57" s="48"/>
      <c r="W57" s="48"/>
      <c r="X57" s="48"/>
    </row>
    <row r="58" spans="1:24" ht="15.75" customHeight="1" x14ac:dyDescent="0.35">
      <c r="A58" s="48"/>
      <c r="B58" s="48"/>
      <c r="C58" s="48"/>
      <c r="D58" s="48"/>
      <c r="E58" s="48"/>
      <c r="F58" s="48"/>
      <c r="G58" s="48"/>
      <c r="H58" s="48"/>
      <c r="I58" s="48"/>
      <c r="J58" s="48"/>
      <c r="K58" s="48"/>
      <c r="L58" s="48"/>
      <c r="M58" s="48"/>
      <c r="N58" s="48"/>
      <c r="O58" s="48"/>
      <c r="P58" s="48"/>
      <c r="Q58" s="48"/>
      <c r="R58" s="48"/>
      <c r="S58" s="48"/>
      <c r="T58" s="48"/>
      <c r="U58" s="48"/>
      <c r="V58" s="48"/>
      <c r="W58" s="48"/>
      <c r="X58" s="48"/>
    </row>
    <row r="59" spans="1:24" ht="15.75" customHeight="1" x14ac:dyDescent="0.35">
      <c r="A59" s="48"/>
      <c r="B59" s="48"/>
      <c r="C59" s="48"/>
      <c r="D59" s="48"/>
      <c r="E59" s="48"/>
      <c r="F59" s="48"/>
      <c r="G59" s="48"/>
      <c r="H59" s="48"/>
      <c r="I59" s="48"/>
      <c r="J59" s="48"/>
      <c r="K59" s="48"/>
      <c r="L59" s="48"/>
      <c r="M59" s="48"/>
      <c r="N59" s="48"/>
      <c r="O59" s="48"/>
      <c r="P59" s="48"/>
      <c r="Q59" s="48"/>
      <c r="R59" s="48"/>
      <c r="S59" s="48"/>
      <c r="T59" s="48"/>
      <c r="U59" s="48"/>
      <c r="V59" s="48"/>
      <c r="W59" s="48"/>
      <c r="X59" s="48"/>
    </row>
    <row r="60" spans="1:24" ht="15.75" customHeight="1" x14ac:dyDescent="0.35">
      <c r="A60" s="48"/>
      <c r="B60" s="48"/>
      <c r="C60" s="48"/>
      <c r="D60" s="48"/>
      <c r="E60" s="48"/>
      <c r="F60" s="48"/>
      <c r="G60" s="48"/>
      <c r="H60" s="48"/>
      <c r="I60" s="48"/>
      <c r="J60" s="48"/>
      <c r="K60" s="48"/>
      <c r="L60" s="48"/>
      <c r="M60" s="48"/>
      <c r="N60" s="48"/>
      <c r="O60" s="48"/>
      <c r="P60" s="48"/>
      <c r="Q60" s="48"/>
      <c r="R60" s="48"/>
      <c r="S60" s="48"/>
      <c r="T60" s="48"/>
      <c r="U60" s="48"/>
      <c r="V60" s="48"/>
      <c r="W60" s="48"/>
      <c r="X60" s="48"/>
    </row>
    <row r="61" spans="1:24" ht="15.75" customHeight="1" x14ac:dyDescent="0.35">
      <c r="A61" s="48"/>
      <c r="B61" s="48"/>
      <c r="C61" s="48"/>
      <c r="D61" s="48"/>
      <c r="E61" s="48"/>
      <c r="F61" s="48"/>
      <c r="G61" s="48"/>
      <c r="H61" s="48"/>
      <c r="I61" s="48"/>
      <c r="J61" s="48"/>
      <c r="K61" s="48"/>
      <c r="L61" s="48"/>
      <c r="M61" s="48"/>
      <c r="N61" s="48"/>
      <c r="O61" s="48"/>
      <c r="P61" s="48"/>
      <c r="Q61" s="48"/>
      <c r="R61" s="48"/>
      <c r="S61" s="48"/>
      <c r="T61" s="48"/>
      <c r="U61" s="48"/>
      <c r="V61" s="48"/>
      <c r="W61" s="48"/>
      <c r="X61" s="48"/>
    </row>
    <row r="62" spans="1:24" ht="15.75" customHeight="1" x14ac:dyDescent="0.35">
      <c r="A62" s="48"/>
      <c r="B62" s="48"/>
      <c r="C62" s="48"/>
      <c r="D62" s="48"/>
      <c r="E62" s="48"/>
      <c r="F62" s="48"/>
      <c r="G62" s="48"/>
      <c r="H62" s="48"/>
      <c r="I62" s="48"/>
      <c r="J62" s="48"/>
      <c r="K62" s="48"/>
      <c r="L62" s="48"/>
      <c r="M62" s="48"/>
      <c r="N62" s="48"/>
      <c r="O62" s="48"/>
      <c r="P62" s="48"/>
      <c r="Q62" s="48"/>
      <c r="R62" s="48"/>
      <c r="S62" s="48"/>
      <c r="T62" s="48"/>
      <c r="U62" s="48"/>
      <c r="V62" s="48"/>
      <c r="W62" s="48"/>
      <c r="X62" s="48"/>
    </row>
    <row r="63" spans="1:24" ht="15.75" customHeight="1" x14ac:dyDescent="0.35">
      <c r="A63" s="48"/>
      <c r="B63" s="48"/>
      <c r="C63" s="48"/>
      <c r="D63" s="48"/>
      <c r="E63" s="48"/>
      <c r="F63" s="48"/>
      <c r="G63" s="48"/>
      <c r="H63" s="48"/>
      <c r="I63" s="48"/>
      <c r="J63" s="48"/>
      <c r="K63" s="48"/>
      <c r="L63" s="48"/>
      <c r="M63" s="48"/>
      <c r="N63" s="48"/>
      <c r="O63" s="48"/>
      <c r="P63" s="48"/>
      <c r="Q63" s="48"/>
      <c r="R63" s="48"/>
      <c r="S63" s="48"/>
      <c r="T63" s="48"/>
      <c r="U63" s="48"/>
      <c r="V63" s="48"/>
      <c r="W63" s="48"/>
      <c r="X63" s="48"/>
    </row>
    <row r="64" spans="1:24" ht="15.75" customHeight="1" x14ac:dyDescent="0.35">
      <c r="A64" s="48"/>
      <c r="B64" s="48"/>
      <c r="C64" s="48"/>
      <c r="D64" s="48"/>
      <c r="E64" s="48"/>
      <c r="F64" s="48"/>
      <c r="G64" s="48"/>
      <c r="H64" s="48"/>
      <c r="I64" s="48"/>
      <c r="J64" s="48"/>
      <c r="K64" s="48"/>
      <c r="L64" s="48"/>
      <c r="M64" s="48"/>
      <c r="N64" s="48"/>
      <c r="O64" s="48"/>
      <c r="P64" s="48"/>
      <c r="Q64" s="48"/>
      <c r="R64" s="48"/>
      <c r="S64" s="48"/>
      <c r="T64" s="48"/>
      <c r="U64" s="48"/>
      <c r="V64" s="48"/>
      <c r="W64" s="48"/>
      <c r="X64" s="48"/>
    </row>
    <row r="65" spans="1:24" ht="15.75" customHeight="1" x14ac:dyDescent="0.35">
      <c r="A65" s="48"/>
      <c r="B65" s="48"/>
      <c r="C65" s="48"/>
      <c r="D65" s="48"/>
      <c r="E65" s="48"/>
      <c r="F65" s="48"/>
      <c r="G65" s="48"/>
      <c r="H65" s="48"/>
      <c r="I65" s="48"/>
      <c r="J65" s="48"/>
      <c r="K65" s="48"/>
      <c r="L65" s="48"/>
      <c r="M65" s="48"/>
      <c r="N65" s="48"/>
      <c r="O65" s="48"/>
      <c r="P65" s="48"/>
      <c r="Q65" s="48"/>
      <c r="R65" s="48"/>
      <c r="S65" s="48"/>
      <c r="T65" s="48"/>
      <c r="U65" s="48"/>
      <c r="V65" s="48"/>
      <c r="W65" s="48"/>
      <c r="X65" s="48"/>
    </row>
    <row r="66" spans="1:24" ht="15.75" customHeight="1" x14ac:dyDescent="0.35">
      <c r="A66" s="48"/>
      <c r="B66" s="48"/>
      <c r="C66" s="48"/>
      <c r="D66" s="48"/>
      <c r="E66" s="48"/>
      <c r="F66" s="48"/>
      <c r="G66" s="48"/>
      <c r="H66" s="48"/>
      <c r="I66" s="48"/>
      <c r="J66" s="48"/>
      <c r="K66" s="48"/>
      <c r="L66" s="48"/>
      <c r="M66" s="48"/>
      <c r="N66" s="48"/>
      <c r="O66" s="48"/>
      <c r="P66" s="48"/>
      <c r="Q66" s="48"/>
      <c r="R66" s="48"/>
      <c r="S66" s="48"/>
      <c r="T66" s="48"/>
      <c r="U66" s="48"/>
      <c r="V66" s="48"/>
      <c r="W66" s="48"/>
      <c r="X66" s="48"/>
    </row>
    <row r="67" spans="1:24" ht="15.75" customHeight="1" x14ac:dyDescent="0.35">
      <c r="A67" s="48"/>
      <c r="B67" s="48"/>
      <c r="C67" s="48"/>
      <c r="D67" s="48"/>
      <c r="E67" s="48"/>
      <c r="F67" s="48"/>
      <c r="G67" s="48"/>
      <c r="H67" s="48"/>
      <c r="I67" s="48"/>
      <c r="J67" s="48"/>
      <c r="K67" s="48"/>
      <c r="L67" s="48"/>
      <c r="M67" s="48"/>
      <c r="N67" s="48"/>
      <c r="O67" s="48"/>
      <c r="P67" s="48"/>
      <c r="Q67" s="48"/>
      <c r="R67" s="48"/>
      <c r="S67" s="48"/>
      <c r="T67" s="48"/>
      <c r="U67" s="48"/>
      <c r="V67" s="48"/>
      <c r="W67" s="48"/>
      <c r="X67" s="48"/>
    </row>
    <row r="68" spans="1:24" ht="15.75" customHeight="1" x14ac:dyDescent="0.35">
      <c r="A68" s="48"/>
      <c r="B68" s="48"/>
      <c r="C68" s="48"/>
      <c r="D68" s="48"/>
      <c r="E68" s="48"/>
      <c r="F68" s="48"/>
      <c r="G68" s="48"/>
      <c r="H68" s="48"/>
      <c r="I68" s="48"/>
      <c r="J68" s="48"/>
      <c r="K68" s="48"/>
      <c r="L68" s="48"/>
      <c r="M68" s="48"/>
      <c r="N68" s="48"/>
      <c r="O68" s="48"/>
      <c r="P68" s="48"/>
      <c r="Q68" s="48"/>
      <c r="R68" s="48"/>
      <c r="S68" s="48"/>
      <c r="T68" s="48"/>
      <c r="U68" s="48"/>
      <c r="V68" s="48"/>
      <c r="W68" s="48"/>
      <c r="X68" s="48"/>
    </row>
    <row r="69" spans="1:24" ht="15.75" customHeight="1" x14ac:dyDescent="0.35">
      <c r="A69" s="48"/>
      <c r="B69" s="48"/>
      <c r="C69" s="48"/>
      <c r="D69" s="48"/>
      <c r="E69" s="48"/>
      <c r="F69" s="48"/>
      <c r="G69" s="48"/>
      <c r="H69" s="48"/>
      <c r="I69" s="48"/>
      <c r="J69" s="48"/>
      <c r="K69" s="48"/>
      <c r="L69" s="48"/>
      <c r="M69" s="48"/>
      <c r="N69" s="48"/>
      <c r="O69" s="48"/>
      <c r="P69" s="48"/>
      <c r="Q69" s="48"/>
      <c r="R69" s="48"/>
      <c r="S69" s="48"/>
      <c r="T69" s="48"/>
      <c r="U69" s="48"/>
      <c r="V69" s="48"/>
      <c r="W69" s="48"/>
      <c r="X69" s="48"/>
    </row>
    <row r="70" spans="1:24" ht="15.75" customHeight="1" x14ac:dyDescent="0.35">
      <c r="A70" s="48"/>
      <c r="B70" s="48"/>
      <c r="C70" s="48"/>
      <c r="D70" s="48"/>
      <c r="E70" s="48"/>
      <c r="F70" s="48"/>
      <c r="G70" s="48"/>
      <c r="H70" s="48"/>
      <c r="I70" s="48"/>
      <c r="J70" s="48"/>
      <c r="K70" s="48"/>
      <c r="L70" s="48"/>
      <c r="M70" s="48"/>
      <c r="N70" s="48"/>
      <c r="O70" s="48"/>
      <c r="P70" s="48"/>
      <c r="Q70" s="48"/>
      <c r="R70" s="48"/>
      <c r="S70" s="48"/>
      <c r="T70" s="48"/>
      <c r="U70" s="48"/>
      <c r="V70" s="48"/>
      <c r="W70" s="48"/>
      <c r="X70" s="48"/>
    </row>
    <row r="71" spans="1:24" ht="15.75" customHeight="1" x14ac:dyDescent="0.35">
      <c r="A71" s="48"/>
      <c r="B71" s="48"/>
      <c r="C71" s="48"/>
      <c r="D71" s="48"/>
      <c r="E71" s="48"/>
      <c r="F71" s="48"/>
      <c r="G71" s="48"/>
      <c r="H71" s="48"/>
      <c r="I71" s="48"/>
      <c r="J71" s="48"/>
      <c r="K71" s="48"/>
      <c r="L71" s="48"/>
      <c r="M71" s="48"/>
      <c r="N71" s="48"/>
      <c r="O71" s="48"/>
      <c r="P71" s="48"/>
      <c r="Q71" s="48"/>
      <c r="R71" s="48"/>
      <c r="S71" s="48"/>
      <c r="T71" s="48"/>
      <c r="U71" s="48"/>
      <c r="V71" s="48"/>
      <c r="W71" s="48"/>
      <c r="X71" s="48"/>
    </row>
    <row r="72" spans="1:24" ht="15.75" customHeight="1" x14ac:dyDescent="0.35">
      <c r="A72" s="48"/>
      <c r="B72" s="48"/>
      <c r="C72" s="48"/>
      <c r="D72" s="48"/>
      <c r="E72" s="48"/>
      <c r="F72" s="48"/>
      <c r="G72" s="48"/>
      <c r="H72" s="48"/>
      <c r="I72" s="48"/>
      <c r="J72" s="48"/>
      <c r="K72" s="48"/>
      <c r="L72" s="48"/>
      <c r="M72" s="48"/>
      <c r="N72" s="48"/>
      <c r="O72" s="48"/>
      <c r="P72" s="48"/>
      <c r="Q72" s="48"/>
      <c r="R72" s="48"/>
      <c r="S72" s="48"/>
      <c r="T72" s="48"/>
      <c r="U72" s="48"/>
      <c r="V72" s="48"/>
      <c r="W72" s="48"/>
      <c r="X72" s="48"/>
    </row>
    <row r="73" spans="1:24" ht="15.75" customHeight="1" x14ac:dyDescent="0.35">
      <c r="A73" s="48"/>
      <c r="B73" s="48"/>
      <c r="C73" s="48"/>
      <c r="D73" s="48"/>
      <c r="E73" s="48"/>
      <c r="F73" s="48"/>
      <c r="G73" s="48"/>
      <c r="H73" s="48"/>
      <c r="I73" s="48"/>
      <c r="J73" s="48"/>
      <c r="K73" s="48"/>
      <c r="L73" s="48"/>
      <c r="M73" s="48"/>
      <c r="N73" s="48"/>
      <c r="O73" s="48"/>
      <c r="P73" s="48"/>
      <c r="Q73" s="48"/>
      <c r="R73" s="48"/>
      <c r="S73" s="48"/>
      <c r="T73" s="48"/>
      <c r="U73" s="48"/>
      <c r="V73" s="48"/>
      <c r="W73" s="48"/>
      <c r="X73" s="48"/>
    </row>
    <row r="74" spans="1:24" ht="15.75" customHeight="1" x14ac:dyDescent="0.35">
      <c r="A74" s="48"/>
      <c r="B74" s="48"/>
      <c r="C74" s="48"/>
      <c r="D74" s="48"/>
      <c r="E74" s="48"/>
      <c r="F74" s="48"/>
      <c r="G74" s="48"/>
      <c r="H74" s="48"/>
      <c r="I74" s="48"/>
      <c r="J74" s="48"/>
      <c r="K74" s="48"/>
      <c r="L74" s="48"/>
      <c r="M74" s="48"/>
      <c r="N74" s="48"/>
      <c r="O74" s="48"/>
      <c r="P74" s="48"/>
      <c r="Q74" s="48"/>
      <c r="R74" s="48"/>
      <c r="S74" s="48"/>
      <c r="T74" s="48"/>
      <c r="U74" s="48"/>
      <c r="V74" s="48"/>
      <c r="W74" s="48"/>
      <c r="X74" s="48"/>
    </row>
    <row r="75" spans="1:24" ht="15.75" customHeight="1" x14ac:dyDescent="0.35">
      <c r="A75" s="48"/>
      <c r="B75" s="48"/>
      <c r="C75" s="48"/>
      <c r="D75" s="48"/>
      <c r="E75" s="48"/>
      <c r="F75" s="48"/>
      <c r="G75" s="48"/>
      <c r="H75" s="48"/>
      <c r="I75" s="48"/>
      <c r="J75" s="48"/>
      <c r="K75" s="48"/>
      <c r="L75" s="48"/>
      <c r="M75" s="48"/>
      <c r="N75" s="48"/>
      <c r="O75" s="48"/>
      <c r="P75" s="48"/>
      <c r="Q75" s="48"/>
      <c r="R75" s="48"/>
      <c r="S75" s="48"/>
      <c r="T75" s="48"/>
      <c r="U75" s="48"/>
      <c r="V75" s="48"/>
      <c r="W75" s="48"/>
      <c r="X75" s="48"/>
    </row>
    <row r="76" spans="1:24" ht="15.75" customHeight="1" x14ac:dyDescent="0.35">
      <c r="A76" s="48"/>
      <c r="B76" s="48"/>
      <c r="C76" s="48"/>
      <c r="D76" s="48"/>
      <c r="E76" s="48"/>
      <c r="F76" s="48"/>
      <c r="G76" s="48"/>
      <c r="H76" s="48"/>
      <c r="I76" s="48"/>
      <c r="J76" s="48"/>
      <c r="K76" s="48"/>
      <c r="L76" s="48"/>
      <c r="M76" s="48"/>
      <c r="N76" s="48"/>
      <c r="O76" s="48"/>
      <c r="P76" s="48"/>
      <c r="Q76" s="48"/>
      <c r="R76" s="48"/>
      <c r="S76" s="48"/>
      <c r="T76" s="48"/>
      <c r="U76" s="48"/>
      <c r="V76" s="48"/>
      <c r="W76" s="48"/>
      <c r="X76" s="48"/>
    </row>
    <row r="77" spans="1:24" ht="15.75" customHeight="1" x14ac:dyDescent="0.35">
      <c r="A77" s="48"/>
      <c r="B77" s="48"/>
      <c r="C77" s="48"/>
      <c r="D77" s="48"/>
      <c r="E77" s="48"/>
      <c r="F77" s="48"/>
      <c r="G77" s="48"/>
      <c r="H77" s="48"/>
      <c r="I77" s="48"/>
      <c r="J77" s="48"/>
      <c r="K77" s="48"/>
      <c r="L77" s="48"/>
      <c r="M77" s="48"/>
      <c r="N77" s="48"/>
      <c r="O77" s="48"/>
      <c r="P77" s="48"/>
      <c r="Q77" s="48"/>
      <c r="R77" s="48"/>
      <c r="S77" s="48"/>
      <c r="T77" s="48"/>
      <c r="U77" s="48"/>
      <c r="V77" s="48"/>
      <c r="W77" s="48"/>
      <c r="X77" s="48"/>
    </row>
    <row r="78" spans="1:24" ht="15.75" customHeight="1" x14ac:dyDescent="0.35">
      <c r="A78" s="48"/>
      <c r="B78" s="48"/>
      <c r="C78" s="48"/>
      <c r="D78" s="48"/>
      <c r="E78" s="48"/>
      <c r="F78" s="48"/>
      <c r="G78" s="48"/>
      <c r="H78" s="48"/>
      <c r="I78" s="48"/>
      <c r="J78" s="48"/>
      <c r="K78" s="48"/>
      <c r="L78" s="48"/>
      <c r="M78" s="48"/>
      <c r="N78" s="48"/>
      <c r="O78" s="48"/>
      <c r="P78" s="48"/>
      <c r="Q78" s="48"/>
      <c r="R78" s="48"/>
      <c r="S78" s="48"/>
      <c r="T78" s="48"/>
      <c r="U78" s="48"/>
      <c r="V78" s="48"/>
      <c r="W78" s="48"/>
      <c r="X78" s="48"/>
    </row>
    <row r="79" spans="1:24" ht="15.75" customHeight="1" x14ac:dyDescent="0.35">
      <c r="A79" s="48"/>
      <c r="B79" s="48"/>
      <c r="C79" s="48"/>
      <c r="D79" s="48"/>
      <c r="E79" s="48"/>
      <c r="F79" s="48"/>
      <c r="G79" s="48"/>
      <c r="H79" s="48"/>
      <c r="I79" s="48"/>
      <c r="J79" s="48"/>
      <c r="K79" s="48"/>
      <c r="L79" s="48"/>
      <c r="M79" s="48"/>
      <c r="N79" s="48"/>
      <c r="O79" s="48"/>
      <c r="P79" s="48"/>
      <c r="Q79" s="48"/>
      <c r="R79" s="48"/>
      <c r="S79" s="48"/>
      <c r="T79" s="48"/>
      <c r="U79" s="48"/>
      <c r="V79" s="48"/>
      <c r="W79" s="48"/>
      <c r="X79" s="48"/>
    </row>
    <row r="80" spans="1:24" ht="15.75" customHeight="1" x14ac:dyDescent="0.35">
      <c r="A80" s="48"/>
      <c r="B80" s="48"/>
      <c r="C80" s="48"/>
      <c r="D80" s="48"/>
      <c r="E80" s="48"/>
      <c r="F80" s="48"/>
      <c r="G80" s="48"/>
      <c r="H80" s="48"/>
      <c r="I80" s="48"/>
      <c r="J80" s="48"/>
      <c r="K80" s="48"/>
      <c r="L80" s="48"/>
      <c r="M80" s="48"/>
      <c r="N80" s="48"/>
      <c r="O80" s="48"/>
      <c r="P80" s="48"/>
      <c r="Q80" s="48"/>
      <c r="R80" s="48"/>
      <c r="S80" s="48"/>
      <c r="T80" s="48"/>
      <c r="U80" s="48"/>
      <c r="V80" s="48"/>
      <c r="W80" s="48"/>
      <c r="X80" s="48"/>
    </row>
    <row r="81" spans="1:24" ht="15.75" customHeight="1" x14ac:dyDescent="0.35">
      <c r="A81" s="48"/>
      <c r="B81" s="48"/>
      <c r="C81" s="48"/>
      <c r="D81" s="48"/>
      <c r="E81" s="48"/>
      <c r="F81" s="48"/>
      <c r="G81" s="48"/>
      <c r="H81" s="48"/>
      <c r="I81" s="48"/>
      <c r="J81" s="48"/>
      <c r="K81" s="48"/>
      <c r="L81" s="48"/>
      <c r="M81" s="48"/>
      <c r="N81" s="48"/>
      <c r="O81" s="48"/>
      <c r="P81" s="48"/>
      <c r="Q81" s="48"/>
      <c r="R81" s="48"/>
      <c r="S81" s="48"/>
      <c r="T81" s="48"/>
      <c r="U81" s="48"/>
      <c r="V81" s="48"/>
      <c r="W81" s="48"/>
      <c r="X81" s="48"/>
    </row>
    <row r="82" spans="1:24" ht="15.75" customHeight="1" x14ac:dyDescent="0.35">
      <c r="A82" s="48"/>
      <c r="B82" s="48"/>
      <c r="C82" s="48"/>
      <c r="D82" s="48"/>
      <c r="E82" s="48"/>
      <c r="F82" s="48"/>
      <c r="G82" s="48"/>
      <c r="H82" s="48"/>
      <c r="I82" s="48"/>
      <c r="J82" s="48"/>
      <c r="K82" s="48"/>
      <c r="L82" s="48"/>
      <c r="M82" s="48"/>
      <c r="N82" s="48"/>
      <c r="O82" s="48"/>
      <c r="P82" s="48"/>
      <c r="Q82" s="48"/>
      <c r="R82" s="48"/>
      <c r="S82" s="48"/>
      <c r="T82" s="48"/>
      <c r="U82" s="48"/>
      <c r="V82" s="48"/>
      <c r="W82" s="48"/>
      <c r="X82" s="48"/>
    </row>
    <row r="83" spans="1:24" ht="15.75" customHeight="1" x14ac:dyDescent="0.35">
      <c r="A83" s="48"/>
      <c r="B83" s="48"/>
      <c r="C83" s="48"/>
      <c r="D83" s="48"/>
      <c r="E83" s="48"/>
      <c r="F83" s="48"/>
      <c r="G83" s="48"/>
      <c r="H83" s="48"/>
      <c r="I83" s="48"/>
      <c r="J83" s="48"/>
      <c r="K83" s="48"/>
      <c r="L83" s="48"/>
      <c r="M83" s="48"/>
      <c r="N83" s="48"/>
      <c r="O83" s="48"/>
      <c r="P83" s="48"/>
      <c r="Q83" s="48"/>
      <c r="R83" s="48"/>
      <c r="S83" s="48"/>
      <c r="T83" s="48"/>
      <c r="U83" s="48"/>
      <c r="V83" s="48"/>
      <c r="W83" s="48"/>
      <c r="X83" s="48"/>
    </row>
    <row r="84" spans="1:24" ht="15.75" customHeight="1" x14ac:dyDescent="0.35">
      <c r="A84" s="48"/>
      <c r="B84" s="48"/>
      <c r="C84" s="48"/>
      <c r="D84" s="48"/>
      <c r="E84" s="48"/>
      <c r="F84" s="48"/>
      <c r="G84" s="48"/>
      <c r="H84" s="48"/>
      <c r="I84" s="48"/>
      <c r="J84" s="48"/>
      <c r="K84" s="48"/>
      <c r="L84" s="48"/>
      <c r="M84" s="48"/>
      <c r="N84" s="48"/>
      <c r="O84" s="48"/>
      <c r="P84" s="48"/>
      <c r="Q84" s="48"/>
      <c r="R84" s="48"/>
      <c r="S84" s="48"/>
      <c r="T84" s="48"/>
      <c r="U84" s="48"/>
      <c r="V84" s="48"/>
      <c r="W84" s="48"/>
      <c r="X84" s="48"/>
    </row>
    <row r="85" spans="1:24" ht="15.75" customHeight="1" x14ac:dyDescent="0.35">
      <c r="A85" s="48"/>
      <c r="B85" s="48"/>
      <c r="C85" s="48"/>
      <c r="D85" s="48"/>
      <c r="E85" s="48"/>
      <c r="F85" s="48"/>
      <c r="G85" s="48"/>
      <c r="H85" s="48"/>
      <c r="I85" s="48"/>
      <c r="J85" s="48"/>
      <c r="K85" s="48"/>
      <c r="L85" s="48"/>
      <c r="M85" s="48"/>
      <c r="N85" s="48"/>
      <c r="O85" s="48"/>
      <c r="P85" s="48"/>
      <c r="Q85" s="48"/>
      <c r="R85" s="48"/>
      <c r="S85" s="48"/>
      <c r="T85" s="48"/>
      <c r="U85" s="48"/>
      <c r="V85" s="48"/>
      <c r="W85" s="48"/>
      <c r="X85" s="48"/>
    </row>
    <row r="86" spans="1:24" ht="15.75" customHeight="1" x14ac:dyDescent="0.35">
      <c r="A86" s="48"/>
      <c r="B86" s="48"/>
      <c r="C86" s="48"/>
      <c r="D86" s="48"/>
      <c r="E86" s="48"/>
      <c r="F86" s="48"/>
      <c r="G86" s="48"/>
      <c r="H86" s="48"/>
      <c r="I86" s="48"/>
      <c r="J86" s="48"/>
      <c r="K86" s="48"/>
      <c r="L86" s="48"/>
      <c r="M86" s="48"/>
      <c r="N86" s="48"/>
      <c r="O86" s="48"/>
      <c r="P86" s="48"/>
      <c r="Q86" s="48"/>
      <c r="R86" s="48"/>
      <c r="S86" s="48"/>
      <c r="T86" s="48"/>
      <c r="U86" s="48"/>
      <c r="V86" s="48"/>
      <c r="W86" s="48"/>
      <c r="X86" s="48"/>
    </row>
    <row r="87" spans="1:24" ht="15.75" customHeight="1" x14ac:dyDescent="0.35">
      <c r="A87" s="48"/>
      <c r="B87" s="48"/>
      <c r="C87" s="48"/>
      <c r="D87" s="48"/>
      <c r="E87" s="48"/>
      <c r="F87" s="48"/>
      <c r="G87" s="48"/>
      <c r="H87" s="48"/>
      <c r="I87" s="48"/>
      <c r="J87" s="48"/>
      <c r="K87" s="48"/>
      <c r="L87" s="48"/>
      <c r="M87" s="48"/>
      <c r="N87" s="48"/>
      <c r="O87" s="48"/>
      <c r="P87" s="48"/>
      <c r="Q87" s="48"/>
      <c r="R87" s="48"/>
      <c r="S87" s="48"/>
      <c r="T87" s="48"/>
      <c r="U87" s="48"/>
      <c r="V87" s="48"/>
      <c r="W87" s="48"/>
      <c r="X87" s="48"/>
    </row>
    <row r="88" spans="1:24" ht="15.75" customHeight="1" x14ac:dyDescent="0.35">
      <c r="A88" s="48"/>
      <c r="B88" s="48"/>
      <c r="C88" s="48"/>
      <c r="D88" s="48"/>
      <c r="E88" s="48"/>
      <c r="F88" s="48"/>
      <c r="G88" s="48"/>
      <c r="H88" s="48"/>
      <c r="I88" s="48"/>
      <c r="J88" s="48"/>
      <c r="K88" s="48"/>
      <c r="L88" s="48"/>
      <c r="M88" s="48"/>
      <c r="N88" s="48"/>
      <c r="O88" s="48"/>
      <c r="P88" s="48"/>
      <c r="Q88" s="48"/>
      <c r="R88" s="48"/>
      <c r="S88" s="48"/>
      <c r="T88" s="48"/>
      <c r="U88" s="48"/>
      <c r="V88" s="48"/>
      <c r="W88" s="48"/>
      <c r="X88" s="48"/>
    </row>
    <row r="89" spans="1:24" ht="15.75" customHeight="1" x14ac:dyDescent="0.35">
      <c r="A89" s="48"/>
      <c r="B89" s="48"/>
      <c r="C89" s="48"/>
      <c r="D89" s="48"/>
      <c r="E89" s="48"/>
      <c r="F89" s="48"/>
      <c r="G89" s="48"/>
      <c r="H89" s="48"/>
      <c r="I89" s="48"/>
      <c r="J89" s="48"/>
      <c r="K89" s="48"/>
      <c r="L89" s="48"/>
      <c r="M89" s="48"/>
      <c r="N89" s="48"/>
      <c r="O89" s="48"/>
      <c r="P89" s="48"/>
      <c r="Q89" s="48"/>
      <c r="R89" s="48"/>
      <c r="S89" s="48"/>
      <c r="T89" s="48"/>
      <c r="U89" s="48"/>
      <c r="V89" s="48"/>
      <c r="W89" s="48"/>
      <c r="X89" s="48"/>
    </row>
    <row r="90" spans="1:24" ht="15.75" customHeight="1" x14ac:dyDescent="0.35">
      <c r="A90" s="48"/>
      <c r="B90" s="48"/>
      <c r="C90" s="48"/>
      <c r="D90" s="48"/>
      <c r="E90" s="48"/>
      <c r="F90" s="48"/>
      <c r="G90" s="48"/>
      <c r="H90" s="48"/>
      <c r="I90" s="48"/>
      <c r="J90" s="48"/>
      <c r="K90" s="48"/>
      <c r="L90" s="48"/>
      <c r="M90" s="48"/>
      <c r="N90" s="48"/>
      <c r="O90" s="48"/>
      <c r="P90" s="48"/>
      <c r="Q90" s="48"/>
      <c r="R90" s="48"/>
      <c r="S90" s="48"/>
      <c r="T90" s="48"/>
      <c r="U90" s="48"/>
      <c r="V90" s="48"/>
      <c r="W90" s="48"/>
      <c r="X90" s="48"/>
    </row>
    <row r="91" spans="1:24" ht="15.75" customHeight="1" x14ac:dyDescent="0.35">
      <c r="A91" s="48"/>
      <c r="B91" s="48"/>
      <c r="C91" s="48"/>
      <c r="D91" s="48"/>
      <c r="E91" s="48"/>
      <c r="F91" s="48"/>
      <c r="G91" s="48"/>
      <c r="H91" s="48"/>
      <c r="I91" s="48"/>
      <c r="J91" s="48"/>
      <c r="K91" s="48"/>
      <c r="L91" s="48"/>
      <c r="M91" s="48"/>
      <c r="N91" s="48"/>
      <c r="O91" s="48"/>
      <c r="P91" s="48"/>
      <c r="Q91" s="48"/>
      <c r="R91" s="48"/>
      <c r="S91" s="48"/>
      <c r="T91" s="48"/>
      <c r="U91" s="48"/>
      <c r="V91" s="48"/>
      <c r="W91" s="48"/>
      <c r="X91" s="48"/>
    </row>
    <row r="92" spans="1:24" ht="15.75" customHeight="1" x14ac:dyDescent="0.35">
      <c r="A92" s="48"/>
      <c r="B92" s="48"/>
      <c r="C92" s="48"/>
      <c r="D92" s="48"/>
      <c r="E92" s="48"/>
      <c r="F92" s="48"/>
      <c r="G92" s="48"/>
      <c r="H92" s="48"/>
      <c r="I92" s="48"/>
      <c r="J92" s="48"/>
      <c r="K92" s="48"/>
      <c r="L92" s="48"/>
      <c r="M92" s="48"/>
      <c r="N92" s="48"/>
      <c r="O92" s="48"/>
      <c r="P92" s="48"/>
      <c r="Q92" s="48"/>
      <c r="R92" s="48"/>
      <c r="S92" s="48"/>
      <c r="T92" s="48"/>
      <c r="U92" s="48"/>
      <c r="V92" s="48"/>
      <c r="W92" s="48"/>
      <c r="X92" s="48"/>
    </row>
    <row r="93" spans="1:24" ht="15.75" customHeight="1" x14ac:dyDescent="0.35">
      <c r="A93" s="48"/>
      <c r="B93" s="48"/>
      <c r="C93" s="48"/>
      <c r="D93" s="48"/>
      <c r="E93" s="48"/>
      <c r="F93" s="48"/>
      <c r="G93" s="48"/>
      <c r="H93" s="48"/>
      <c r="I93" s="48"/>
      <c r="J93" s="48"/>
      <c r="K93" s="48"/>
      <c r="L93" s="48"/>
      <c r="M93" s="48"/>
      <c r="N93" s="48"/>
      <c r="O93" s="48"/>
      <c r="P93" s="48"/>
      <c r="Q93" s="48"/>
      <c r="R93" s="48"/>
      <c r="S93" s="48"/>
      <c r="T93" s="48"/>
      <c r="U93" s="48"/>
      <c r="V93" s="48"/>
      <c r="W93" s="48"/>
      <c r="X93" s="48"/>
    </row>
    <row r="94" spans="1:24" ht="15.75" customHeight="1" x14ac:dyDescent="0.35">
      <c r="A94" s="48"/>
      <c r="B94" s="48"/>
      <c r="C94" s="48"/>
      <c r="D94" s="48"/>
      <c r="E94" s="48"/>
      <c r="F94" s="48"/>
      <c r="G94" s="48"/>
      <c r="H94" s="48"/>
      <c r="I94" s="48"/>
      <c r="J94" s="48"/>
      <c r="K94" s="48"/>
      <c r="L94" s="48"/>
      <c r="M94" s="48"/>
      <c r="N94" s="48"/>
      <c r="O94" s="48"/>
      <c r="P94" s="48"/>
      <c r="Q94" s="48"/>
      <c r="R94" s="48"/>
      <c r="S94" s="48"/>
      <c r="T94" s="48"/>
      <c r="U94" s="48"/>
      <c r="V94" s="48"/>
      <c r="W94" s="48"/>
      <c r="X94" s="48"/>
    </row>
    <row r="95" spans="1:24" ht="15.75" customHeight="1" x14ac:dyDescent="0.35">
      <c r="A95" s="48"/>
      <c r="B95" s="48"/>
      <c r="C95" s="48"/>
      <c r="D95" s="48"/>
      <c r="E95" s="48"/>
      <c r="F95" s="48"/>
      <c r="G95" s="48"/>
      <c r="H95" s="48"/>
      <c r="I95" s="48"/>
      <c r="J95" s="48"/>
      <c r="K95" s="48"/>
      <c r="L95" s="48"/>
      <c r="M95" s="48"/>
      <c r="N95" s="48"/>
      <c r="O95" s="48"/>
      <c r="P95" s="48"/>
      <c r="Q95" s="48"/>
      <c r="R95" s="48"/>
      <c r="S95" s="48"/>
      <c r="T95" s="48"/>
      <c r="U95" s="48"/>
      <c r="V95" s="48"/>
      <c r="W95" s="48"/>
      <c r="X95" s="48"/>
    </row>
    <row r="96" spans="1:24" ht="15.75" customHeight="1" x14ac:dyDescent="0.35">
      <c r="A96" s="48"/>
      <c r="B96" s="48"/>
      <c r="C96" s="48"/>
      <c r="D96" s="48"/>
      <c r="E96" s="48"/>
      <c r="F96" s="48"/>
      <c r="G96" s="48"/>
      <c r="H96" s="48"/>
      <c r="I96" s="48"/>
      <c r="J96" s="48"/>
      <c r="K96" s="48"/>
      <c r="L96" s="48"/>
      <c r="M96" s="48"/>
      <c r="N96" s="48"/>
      <c r="O96" s="48"/>
      <c r="P96" s="48"/>
      <c r="Q96" s="48"/>
      <c r="R96" s="48"/>
      <c r="S96" s="48"/>
      <c r="T96" s="48"/>
      <c r="U96" s="48"/>
      <c r="V96" s="48"/>
      <c r="W96" s="48"/>
      <c r="X96" s="48"/>
    </row>
    <row r="97" spans="1:24" ht="15.75" customHeight="1" x14ac:dyDescent="0.35">
      <c r="A97" s="48"/>
      <c r="B97" s="48"/>
      <c r="C97" s="48"/>
      <c r="D97" s="48"/>
      <c r="E97" s="48"/>
      <c r="F97" s="48"/>
      <c r="G97" s="48"/>
      <c r="H97" s="48"/>
      <c r="I97" s="48"/>
      <c r="J97" s="48"/>
      <c r="K97" s="48"/>
      <c r="L97" s="48"/>
      <c r="M97" s="48"/>
      <c r="N97" s="48"/>
      <c r="O97" s="48"/>
      <c r="P97" s="48"/>
      <c r="Q97" s="48"/>
      <c r="R97" s="48"/>
      <c r="S97" s="48"/>
      <c r="T97" s="48"/>
      <c r="U97" s="48"/>
      <c r="V97" s="48"/>
      <c r="W97" s="48"/>
      <c r="X97" s="48"/>
    </row>
    <row r="98" spans="1:24" ht="15.75" customHeight="1" x14ac:dyDescent="0.35">
      <c r="A98" s="48"/>
      <c r="B98" s="48"/>
      <c r="C98" s="48"/>
      <c r="D98" s="48"/>
      <c r="E98" s="48"/>
      <c r="F98" s="48"/>
      <c r="G98" s="48"/>
      <c r="H98" s="48"/>
      <c r="I98" s="48"/>
      <c r="J98" s="48"/>
      <c r="K98" s="48"/>
      <c r="L98" s="48"/>
      <c r="M98" s="48"/>
      <c r="N98" s="48"/>
      <c r="O98" s="48"/>
      <c r="P98" s="48"/>
      <c r="Q98" s="48"/>
      <c r="R98" s="48"/>
      <c r="S98" s="48"/>
      <c r="T98" s="48"/>
      <c r="U98" s="48"/>
      <c r="V98" s="48"/>
      <c r="W98" s="48"/>
      <c r="X98" s="48"/>
    </row>
    <row r="99" spans="1:24" ht="15.75" customHeight="1" x14ac:dyDescent="0.35">
      <c r="A99" s="48"/>
      <c r="B99" s="48"/>
      <c r="C99" s="48"/>
      <c r="D99" s="48"/>
      <c r="E99" s="48"/>
      <c r="F99" s="48"/>
      <c r="G99" s="48"/>
      <c r="H99" s="48"/>
      <c r="I99" s="48"/>
      <c r="J99" s="48"/>
      <c r="K99" s="48"/>
      <c r="L99" s="48"/>
      <c r="M99" s="48"/>
      <c r="N99" s="48"/>
      <c r="O99" s="48"/>
      <c r="P99" s="48"/>
      <c r="Q99" s="48"/>
      <c r="R99" s="48"/>
      <c r="S99" s="48"/>
      <c r="T99" s="48"/>
      <c r="U99" s="48"/>
      <c r="V99" s="48"/>
      <c r="W99" s="48"/>
      <c r="X99" s="48"/>
    </row>
    <row r="100" spans="1:24" ht="15.75" customHeight="1" x14ac:dyDescent="0.3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spans="1:24" ht="15.75" customHeight="1" x14ac:dyDescent="0.3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spans="1:24" ht="15.75" customHeight="1" x14ac:dyDescent="0.3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spans="1:24" ht="15.75" customHeight="1" x14ac:dyDescent="0.3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spans="1:24" ht="15.75" customHeight="1" x14ac:dyDescent="0.3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spans="1:24" ht="15.75" customHeight="1" x14ac:dyDescent="0.3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spans="1:24" ht="15.75" customHeight="1" x14ac:dyDescent="0.3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spans="1:24" ht="15.75" customHeight="1" x14ac:dyDescent="0.3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spans="1:24" ht="15.75" customHeight="1" x14ac:dyDescent="0.3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spans="1:24" ht="15.75" customHeight="1" x14ac:dyDescent="0.3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spans="1:24" ht="15.75" customHeight="1" x14ac:dyDescent="0.3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spans="1:24" ht="15.75" customHeight="1" x14ac:dyDescent="0.3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spans="1:24" ht="15.75" customHeight="1" x14ac:dyDescent="0.3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spans="1:24" ht="15.75" customHeight="1" x14ac:dyDescent="0.3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spans="1:24" ht="15.75" customHeight="1" x14ac:dyDescent="0.3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spans="1:24" ht="15.75" customHeight="1" x14ac:dyDescent="0.3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spans="1:24" ht="15.75" customHeight="1" x14ac:dyDescent="0.3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spans="1:24" ht="15.75" customHeight="1" x14ac:dyDescent="0.3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spans="1:24" ht="15.75" customHeight="1" x14ac:dyDescent="0.3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spans="1:24" ht="15.75" customHeight="1" x14ac:dyDescent="0.3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spans="1:24" ht="15.75" customHeight="1" x14ac:dyDescent="0.3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spans="1:24" ht="15.75" customHeight="1" x14ac:dyDescent="0.3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spans="1:24" ht="15.75" customHeight="1" x14ac:dyDescent="0.3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spans="1:24" ht="15.75" customHeight="1" x14ac:dyDescent="0.3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spans="1:24" ht="15.75" customHeight="1" x14ac:dyDescent="0.3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spans="1:24" ht="15.75" customHeight="1" x14ac:dyDescent="0.3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spans="1:24" ht="15.75" customHeight="1" x14ac:dyDescent="0.3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spans="1:24" ht="15.75" customHeight="1" x14ac:dyDescent="0.3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spans="1:24" ht="15.75" customHeight="1" x14ac:dyDescent="0.3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spans="1:24" ht="15.75" customHeight="1" x14ac:dyDescent="0.3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spans="1:24" ht="15.75" customHeight="1" x14ac:dyDescent="0.3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spans="1:24" ht="15.75" customHeight="1" x14ac:dyDescent="0.3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spans="1:24" ht="15.75" customHeight="1" x14ac:dyDescent="0.3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spans="1:24" ht="15.75" customHeight="1" x14ac:dyDescent="0.3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spans="1:24" ht="15.75" customHeight="1" x14ac:dyDescent="0.3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spans="1:24" ht="15.75" customHeight="1" x14ac:dyDescent="0.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spans="1:24" ht="15.75" customHeight="1" x14ac:dyDescent="0.3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spans="1:24" ht="15.75" customHeight="1" x14ac:dyDescent="0.3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spans="1:24" ht="15.75" customHeight="1" x14ac:dyDescent="0.3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spans="1:24" ht="15.75" customHeight="1" x14ac:dyDescent="0.3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spans="1:24" ht="15.75" customHeight="1" x14ac:dyDescent="0.3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spans="1:24" ht="15.75" customHeight="1" x14ac:dyDescent="0.3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spans="1:24" ht="15.75" customHeight="1" x14ac:dyDescent="0.3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spans="1:24" ht="15.75" customHeight="1" x14ac:dyDescent="0.3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spans="1:24" ht="15.75" customHeight="1" x14ac:dyDescent="0.3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spans="1:24" ht="15.75" customHeight="1" x14ac:dyDescent="0.3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spans="1:24" ht="15.75" customHeight="1" x14ac:dyDescent="0.3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spans="1:24" ht="15.75" customHeight="1" x14ac:dyDescent="0.3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spans="1:24" ht="15.75" customHeight="1" x14ac:dyDescent="0.3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spans="1:24" ht="15.75" customHeight="1" x14ac:dyDescent="0.3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spans="1:24" ht="15.75" customHeight="1" x14ac:dyDescent="0.3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spans="1:24" ht="15.75" customHeight="1" x14ac:dyDescent="0.3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spans="1:24" ht="15.75" customHeight="1" x14ac:dyDescent="0.3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spans="1:24" ht="15.75" customHeight="1" x14ac:dyDescent="0.3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spans="1:24" ht="15.75" customHeight="1" x14ac:dyDescent="0.3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spans="1:24" ht="15.75" customHeight="1" x14ac:dyDescent="0.3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spans="1:24" ht="15.75" customHeight="1" x14ac:dyDescent="0.3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spans="1:24" ht="15.75" customHeight="1" x14ac:dyDescent="0.3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spans="1:24" ht="15.75" customHeight="1" x14ac:dyDescent="0.3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spans="1:24" ht="15.75" customHeight="1" x14ac:dyDescent="0.3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spans="1:24" ht="15.75" customHeight="1" x14ac:dyDescent="0.3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spans="1:24" ht="15.75" customHeight="1" x14ac:dyDescent="0.3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spans="1:24" ht="15.75" customHeight="1" x14ac:dyDescent="0.3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spans="1:24" ht="15.75" customHeight="1" x14ac:dyDescent="0.3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spans="1:24" ht="15.75" customHeight="1" x14ac:dyDescent="0.3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spans="1:24" ht="15.75" customHeight="1" x14ac:dyDescent="0.3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spans="1:24" ht="15.75" customHeight="1" x14ac:dyDescent="0.3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spans="1:24" ht="15.75" customHeight="1" x14ac:dyDescent="0.3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spans="1:24" ht="15.75" customHeight="1" x14ac:dyDescent="0.3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spans="1:24" ht="15.75" customHeight="1" x14ac:dyDescent="0.3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spans="1:24" ht="15.75" customHeight="1" x14ac:dyDescent="0.3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spans="1:24" ht="15.75" customHeight="1" x14ac:dyDescent="0.3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spans="1:24" ht="15.75" customHeight="1" x14ac:dyDescent="0.3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spans="1:24" ht="15.75" customHeight="1" x14ac:dyDescent="0.3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spans="1:24" ht="15.75" customHeight="1" x14ac:dyDescent="0.3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spans="1:24" ht="15.75" customHeight="1" x14ac:dyDescent="0.3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spans="1:24" ht="15.75" customHeight="1" x14ac:dyDescent="0.3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spans="1:24" ht="15.75" customHeight="1" x14ac:dyDescent="0.3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spans="1:24" ht="15.75" customHeight="1" x14ac:dyDescent="0.3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spans="1:24" ht="15.75" customHeight="1" x14ac:dyDescent="0.3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spans="1:24" ht="15.75" customHeight="1" x14ac:dyDescent="0.3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spans="1:24" ht="15.75" customHeight="1" x14ac:dyDescent="0.3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spans="1:24" ht="15.75" customHeight="1" x14ac:dyDescent="0.3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spans="1:24" ht="15.75" customHeight="1" x14ac:dyDescent="0.3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spans="1:24" ht="15.75" customHeight="1" x14ac:dyDescent="0.3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spans="1:24" ht="15.75" customHeight="1" x14ac:dyDescent="0.3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spans="1:24" ht="15.75" customHeight="1" x14ac:dyDescent="0.3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spans="1:24" ht="15.75" customHeight="1" x14ac:dyDescent="0.3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spans="1:24" ht="15.75" customHeight="1" x14ac:dyDescent="0.3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spans="1:24" ht="15.75" customHeight="1" x14ac:dyDescent="0.3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spans="1:24" ht="15.75" customHeight="1" x14ac:dyDescent="0.3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spans="1:24" ht="15.75" customHeight="1" x14ac:dyDescent="0.3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spans="1:24" ht="15.75" customHeight="1" x14ac:dyDescent="0.3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spans="1:24" ht="15.75" customHeight="1" x14ac:dyDescent="0.3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spans="1:24" ht="15.75" customHeight="1" x14ac:dyDescent="0.3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spans="1:24" ht="15.75" customHeight="1" x14ac:dyDescent="0.3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spans="1:24" ht="15.75" customHeight="1" x14ac:dyDescent="0.3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spans="1:24" ht="15.75" customHeight="1" x14ac:dyDescent="0.3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spans="1:24" ht="15.75" customHeight="1" x14ac:dyDescent="0.3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spans="1:24" ht="15.75" customHeight="1" x14ac:dyDescent="0.3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spans="1:24" ht="15.75" customHeight="1" x14ac:dyDescent="0.3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spans="1:24" ht="15.75" customHeight="1" x14ac:dyDescent="0.3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spans="1:24" ht="15.75" customHeight="1" x14ac:dyDescent="0.3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spans="1:24" ht="15.75" customHeight="1" x14ac:dyDescent="0.3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spans="1:24" ht="15.75" customHeight="1" x14ac:dyDescent="0.3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spans="1:24" ht="15.75" customHeight="1" x14ac:dyDescent="0.3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spans="1:24" ht="15.75" customHeight="1" x14ac:dyDescent="0.3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spans="1:24" ht="15.75" customHeight="1" x14ac:dyDescent="0.3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spans="1:24" ht="15.75" customHeight="1" x14ac:dyDescent="0.3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spans="1:24" ht="15.75" customHeight="1" x14ac:dyDescent="0.3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spans="1:24" ht="15.75" customHeight="1" x14ac:dyDescent="0.3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spans="1:24" ht="15.75" customHeight="1" x14ac:dyDescent="0.3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spans="1:24" ht="15.75" customHeight="1" x14ac:dyDescent="0.3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spans="1:24" ht="15.75" customHeight="1" x14ac:dyDescent="0.3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spans="1:24" ht="15.75" customHeight="1" x14ac:dyDescent="0.3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spans="1:24" ht="15.75" customHeight="1" x14ac:dyDescent="0.3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spans="1:24" ht="15.75" customHeight="1" x14ac:dyDescent="0.3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spans="1:24" ht="15.75" customHeight="1" x14ac:dyDescent="0.3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spans="1:24" ht="15.75" customHeight="1" x14ac:dyDescent="0.3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spans="1:24" ht="15.75" customHeight="1" x14ac:dyDescent="0.3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spans="1:24" ht="15.75" customHeight="1" x14ac:dyDescent="0.35">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spans="1:24" ht="15.75" customHeight="1" x14ac:dyDescent="0.35">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spans="1:24" ht="15.75" customHeight="1" x14ac:dyDescent="0.35">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spans="1:24" ht="15.75" customHeight="1" x14ac:dyDescent="0.35">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spans="1:24" ht="15.75" customHeight="1" x14ac:dyDescent="0.35">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spans="1:24" ht="15.75" customHeight="1" x14ac:dyDescent="0.3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spans="1:24" ht="15.75" customHeight="1" x14ac:dyDescent="0.35">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spans="1:24" ht="15.75" customHeight="1" x14ac:dyDescent="0.35">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spans="1:24" ht="15.75" customHeight="1" x14ac:dyDescent="0.35">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spans="1:24" ht="15.75" customHeight="1" x14ac:dyDescent="0.35">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spans="1:24" ht="15.75" customHeight="1" x14ac:dyDescent="0.35">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spans="1:24" ht="15.75" customHeight="1" x14ac:dyDescent="0.35">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spans="1:24" ht="15.75" customHeight="1" x14ac:dyDescent="0.35">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spans="1:24" ht="15.75" customHeight="1" x14ac:dyDescent="0.35">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spans="1:24" ht="15.75" customHeight="1" x14ac:dyDescent="0.35">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spans="1:24" ht="15.75" customHeight="1" x14ac:dyDescent="0.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spans="1:24" ht="15.75" customHeight="1" x14ac:dyDescent="0.35">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spans="1:24" ht="15.75" customHeight="1" x14ac:dyDescent="0.35">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spans="1:24" ht="15.75" customHeight="1" x14ac:dyDescent="0.35">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spans="1:24" ht="15.75" customHeight="1" x14ac:dyDescent="0.35">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spans="1:24" ht="15.75" customHeight="1" x14ac:dyDescent="0.35">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spans="1:24" ht="15.75" customHeight="1" x14ac:dyDescent="0.35">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spans="1:24" ht="15.75" customHeight="1" x14ac:dyDescent="0.35">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spans="1:24" ht="15.75" customHeight="1" x14ac:dyDescent="0.35">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spans="1:24" ht="15.75" customHeight="1" x14ac:dyDescent="0.35">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spans="1:24" ht="15.75" customHeight="1" x14ac:dyDescent="0.3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spans="1:24" ht="15.75" customHeight="1" x14ac:dyDescent="0.35">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spans="1:24" ht="15.75" customHeight="1" x14ac:dyDescent="0.35">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spans="1:24" ht="15.75" customHeight="1" x14ac:dyDescent="0.35">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spans="1:24" ht="15.75" customHeight="1" x14ac:dyDescent="0.35">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spans="1:24" ht="15.75" customHeight="1" x14ac:dyDescent="0.35">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spans="1:24" ht="15.75" customHeight="1" x14ac:dyDescent="0.35">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spans="1:24" ht="15.75" customHeight="1" x14ac:dyDescent="0.35">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spans="1:24" ht="15.75" customHeight="1" x14ac:dyDescent="0.35">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spans="1:24" ht="15.75" customHeight="1" x14ac:dyDescent="0.35">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spans="1:24" ht="15.75" customHeight="1" x14ac:dyDescent="0.3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spans="1:24" ht="15.75" customHeight="1" x14ac:dyDescent="0.35">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spans="1:24" ht="15.75" customHeight="1" x14ac:dyDescent="0.35">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spans="1:24" ht="15.75" customHeight="1" x14ac:dyDescent="0.35">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spans="1:24" ht="15.75" customHeight="1" x14ac:dyDescent="0.35">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spans="1:24" ht="15.75" customHeight="1" x14ac:dyDescent="0.35">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spans="1:24" ht="15.75" customHeight="1" x14ac:dyDescent="0.35">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spans="1:24" ht="15.75" customHeight="1" x14ac:dyDescent="0.35">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spans="1:24" ht="15.75" customHeight="1" x14ac:dyDescent="0.35">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spans="1:24" ht="15.75" customHeight="1" x14ac:dyDescent="0.35">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spans="1:24" ht="15.75" customHeight="1" x14ac:dyDescent="0.3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spans="1:24" ht="15.75" customHeight="1" x14ac:dyDescent="0.35">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spans="1:24" ht="15.75" customHeight="1" x14ac:dyDescent="0.35">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spans="1:24" ht="15.75" customHeight="1" x14ac:dyDescent="0.35">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spans="1:24" ht="15.75" customHeight="1" x14ac:dyDescent="0.35">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spans="1:24" ht="15.75" customHeight="1" x14ac:dyDescent="0.35">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spans="1:24" ht="15.75" customHeight="1" x14ac:dyDescent="0.35">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spans="1:24" ht="15.75" customHeight="1" x14ac:dyDescent="0.35">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spans="1:24" ht="15.75" customHeight="1" x14ac:dyDescent="0.35">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spans="1:24" ht="15.75" customHeight="1" x14ac:dyDescent="0.35">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spans="1:24" ht="15.75" customHeight="1" x14ac:dyDescent="0.3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spans="1:24" ht="15.75" customHeight="1" x14ac:dyDescent="0.35">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spans="1:24" ht="15.75" customHeight="1" x14ac:dyDescent="0.35">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spans="1:24" ht="15.75" customHeight="1" x14ac:dyDescent="0.35">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spans="1:24" ht="15.75" customHeight="1" x14ac:dyDescent="0.35">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spans="1:24" ht="15.75" customHeight="1" x14ac:dyDescent="0.35">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spans="1:24" ht="15.75" customHeight="1" x14ac:dyDescent="0.35">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spans="1:24" ht="15.75" customHeight="1" x14ac:dyDescent="0.35">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spans="1:24" ht="15.75" customHeight="1" x14ac:dyDescent="0.35">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spans="1:24" ht="15.75" customHeight="1" x14ac:dyDescent="0.35">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spans="1:24" ht="15.75" customHeight="1" x14ac:dyDescent="0.3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spans="1:24" ht="15.75" customHeight="1" x14ac:dyDescent="0.35">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spans="1:24" ht="15.75" customHeight="1" x14ac:dyDescent="0.35">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spans="1:24" ht="15.75" customHeight="1" x14ac:dyDescent="0.35">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spans="1:24" ht="15.75" customHeight="1" x14ac:dyDescent="0.35">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spans="1:24" ht="15.75" customHeight="1" x14ac:dyDescent="0.35">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spans="1:24" ht="15.75" customHeight="1" x14ac:dyDescent="0.35">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spans="1:24" ht="15.75" customHeight="1" x14ac:dyDescent="0.35">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spans="1:24" ht="15.75" customHeight="1" x14ac:dyDescent="0.35">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spans="1:24" ht="15.75" customHeight="1" x14ac:dyDescent="0.35">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spans="1:24" ht="15.75" customHeight="1" x14ac:dyDescent="0.3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spans="1:24" ht="15.75" customHeight="1" x14ac:dyDescent="0.35">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spans="1:24" ht="15.75" customHeight="1" x14ac:dyDescent="0.35">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spans="1:24" ht="15.75" customHeight="1" x14ac:dyDescent="0.35">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spans="1:24" ht="15.75" customHeight="1" x14ac:dyDescent="0.35">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spans="1:24" ht="15.75" customHeight="1" x14ac:dyDescent="0.35">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spans="1:24" ht="15.75" customHeight="1" x14ac:dyDescent="0.35">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spans="1:24" ht="15.75" customHeight="1" x14ac:dyDescent="0.35">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spans="1:24" ht="15.75" customHeight="1" x14ac:dyDescent="0.35">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spans="1:24" ht="15.75" customHeight="1" x14ac:dyDescent="0.35">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spans="1:24" ht="15.75" customHeight="1" x14ac:dyDescent="0.3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spans="1:24" ht="15.75" customHeight="1" x14ac:dyDescent="0.35">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spans="1:24" ht="15.75" customHeight="1" x14ac:dyDescent="0.35">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spans="1:24" ht="15.75" customHeight="1" x14ac:dyDescent="0.35">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spans="1:24" ht="15.75" customHeight="1" x14ac:dyDescent="0.35">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spans="1:24" ht="15.75" customHeight="1" x14ac:dyDescent="0.35">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spans="1:24" ht="15.75" customHeight="1" x14ac:dyDescent="0.35">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spans="1:24" ht="15.75" customHeight="1" x14ac:dyDescent="0.35">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spans="1:24" ht="15.75" customHeight="1" x14ac:dyDescent="0.35">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spans="1:24" ht="15.75" customHeight="1" x14ac:dyDescent="0.35">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spans="1:24" ht="15.75" customHeight="1" x14ac:dyDescent="0.3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spans="1:24" ht="15.75" customHeight="1" x14ac:dyDescent="0.35">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spans="1:24" ht="15.75" customHeight="1" x14ac:dyDescent="0.35">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spans="1:24" ht="15.75" customHeight="1" x14ac:dyDescent="0.35">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spans="1:24" ht="15.75" customHeight="1" x14ac:dyDescent="0.35">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spans="1:24" ht="15.75" customHeight="1" x14ac:dyDescent="0.35">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spans="1:24" ht="15.75" customHeight="1" x14ac:dyDescent="0.35">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spans="1:24" ht="15.75" customHeight="1" x14ac:dyDescent="0.35">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spans="1:24" ht="15.75" customHeight="1" x14ac:dyDescent="0.35">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spans="1:24" ht="15.75" customHeight="1" x14ac:dyDescent="0.35">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spans="1:24" ht="15.75" customHeight="1" x14ac:dyDescent="0.3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spans="1:24" ht="15.75" customHeight="1" x14ac:dyDescent="0.35">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spans="1:24" ht="15.75" customHeight="1" x14ac:dyDescent="0.35">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spans="1:24" ht="15.75" customHeight="1" x14ac:dyDescent="0.35">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spans="1:24" ht="15.75" customHeight="1" x14ac:dyDescent="0.35">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spans="1:24" ht="15.75" customHeight="1" x14ac:dyDescent="0.35">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spans="1:24" ht="15.75" customHeight="1" x14ac:dyDescent="0.35">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spans="1:24" ht="15.75" customHeight="1" x14ac:dyDescent="0.35">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spans="1:24" ht="15.75" customHeight="1" x14ac:dyDescent="0.35">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spans="1:24" ht="15.75" customHeight="1" x14ac:dyDescent="0.35">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spans="1:24" ht="15.75" customHeight="1" x14ac:dyDescent="0.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spans="1:24" ht="15.75" customHeight="1" x14ac:dyDescent="0.35">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spans="1:24" ht="15.75" customHeight="1" x14ac:dyDescent="0.35">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spans="1:24" ht="15.75" customHeight="1" x14ac:dyDescent="0.35">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spans="1:24" ht="15.75" customHeight="1" x14ac:dyDescent="0.35">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spans="1:24" ht="15.75" customHeight="1" x14ac:dyDescent="0.35">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spans="1:24" ht="15.75" customHeight="1" x14ac:dyDescent="0.35">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spans="1:24" ht="15.75" customHeight="1" x14ac:dyDescent="0.35">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spans="1:24" ht="15.75" customHeight="1" x14ac:dyDescent="0.35">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spans="1:24" ht="15.75" customHeight="1" x14ac:dyDescent="0.35">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spans="1:24" ht="15.75" customHeight="1" x14ac:dyDescent="0.3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spans="1:24" ht="15.75" customHeight="1" x14ac:dyDescent="0.35">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spans="1:24" ht="15.75" customHeight="1" x14ac:dyDescent="0.35">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spans="1:24" ht="15.75" customHeight="1" x14ac:dyDescent="0.35">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spans="1:24" ht="15.75" customHeight="1" x14ac:dyDescent="0.35">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spans="1:24" ht="15.75" customHeight="1" x14ac:dyDescent="0.35">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spans="1:24" ht="15.75" customHeight="1" x14ac:dyDescent="0.35">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spans="1:24" ht="15.75" customHeight="1" x14ac:dyDescent="0.35">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spans="1:24" ht="15.75" customHeight="1" x14ac:dyDescent="0.35">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spans="1:24" ht="15.75" customHeight="1" x14ac:dyDescent="0.35">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spans="1:24" ht="15.75" customHeight="1" x14ac:dyDescent="0.3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spans="1:24" ht="15.75" customHeight="1" x14ac:dyDescent="0.35">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spans="1:24" ht="15.75" customHeight="1" x14ac:dyDescent="0.35">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spans="1:24" ht="15.75" customHeight="1" x14ac:dyDescent="0.35">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spans="1:24" ht="15.75" customHeight="1" x14ac:dyDescent="0.35">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spans="1:24" ht="15.75" customHeight="1" x14ac:dyDescent="0.35">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spans="1:24" ht="15.75" customHeight="1" x14ac:dyDescent="0.35">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spans="1:24" ht="15.75" customHeight="1" x14ac:dyDescent="0.35">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spans="1:24" ht="15.75" customHeight="1" x14ac:dyDescent="0.35">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spans="1:24" ht="15.75" customHeight="1" x14ac:dyDescent="0.35">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spans="1:24" ht="15.75" customHeight="1" x14ac:dyDescent="0.3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spans="1:24" ht="15.75" customHeight="1" x14ac:dyDescent="0.35">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spans="1:24" ht="15.75" customHeight="1" x14ac:dyDescent="0.35">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spans="1:24" ht="15.75" customHeight="1" x14ac:dyDescent="0.35">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spans="1:24" ht="15.75" customHeight="1" x14ac:dyDescent="0.35">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spans="1:24" ht="15.75" customHeight="1" x14ac:dyDescent="0.35">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spans="1:24" ht="15.75" customHeight="1" x14ac:dyDescent="0.35">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spans="1:24" ht="15.75" customHeight="1" x14ac:dyDescent="0.35">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spans="1:24" ht="15.75" customHeight="1" x14ac:dyDescent="0.35">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spans="1:24" ht="15.75" customHeight="1" x14ac:dyDescent="0.35">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spans="1:24" ht="15.75" customHeight="1" x14ac:dyDescent="0.3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spans="1:24" ht="15.75" customHeight="1" x14ac:dyDescent="0.35">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spans="1:24" ht="15.75" customHeight="1" x14ac:dyDescent="0.35">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spans="1:24" ht="15.75" customHeight="1" x14ac:dyDescent="0.35">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spans="1:24" ht="15.75" customHeight="1" x14ac:dyDescent="0.35">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spans="1:24" ht="15.75" customHeight="1" x14ac:dyDescent="0.35">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spans="1:24" ht="15.75" customHeight="1" x14ac:dyDescent="0.35">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spans="1:24" ht="15.75" customHeight="1" x14ac:dyDescent="0.35">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spans="1:24" ht="15.75" customHeight="1" x14ac:dyDescent="0.35">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spans="1:24" ht="15.75" customHeight="1" x14ac:dyDescent="0.35">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spans="1:24" ht="15.75" customHeight="1" x14ac:dyDescent="0.3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spans="1:24" ht="15.75" customHeight="1" x14ac:dyDescent="0.35">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spans="1:24" ht="15.75" customHeight="1" x14ac:dyDescent="0.35">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spans="1:24" ht="15.75" customHeight="1" x14ac:dyDescent="0.35">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spans="1:24" ht="15.75" customHeight="1" x14ac:dyDescent="0.3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spans="1:24" ht="15.75" customHeight="1" x14ac:dyDescent="0.3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spans="1:24" ht="15.75" customHeight="1" x14ac:dyDescent="0.3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spans="1:24" ht="15.75" customHeight="1" x14ac:dyDescent="0.3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spans="1:24" ht="15.75" customHeight="1" x14ac:dyDescent="0.3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spans="1:24" ht="15.75" customHeight="1" x14ac:dyDescent="0.3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spans="1:24" ht="15.75" customHeight="1" x14ac:dyDescent="0.3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spans="1:24" ht="15.75" customHeight="1" x14ac:dyDescent="0.3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spans="1:24" ht="15.75" customHeight="1" x14ac:dyDescent="0.3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spans="1:24" ht="15.75" customHeight="1" x14ac:dyDescent="0.3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spans="1:24" ht="15.75" customHeight="1" x14ac:dyDescent="0.3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spans="1:24" ht="15.75" customHeight="1" x14ac:dyDescent="0.3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spans="1:24" ht="15.75" customHeight="1" x14ac:dyDescent="0.3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spans="1:24" ht="15.75" customHeight="1" x14ac:dyDescent="0.3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spans="1:24" ht="15.75" customHeight="1" x14ac:dyDescent="0.3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spans="1:24" ht="15.75" customHeight="1" x14ac:dyDescent="0.3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spans="1:24" ht="15.75" customHeight="1" x14ac:dyDescent="0.3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spans="1:24" ht="15.75" customHeight="1" x14ac:dyDescent="0.3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spans="1:24" ht="15.75" customHeight="1" x14ac:dyDescent="0.3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spans="1:24" ht="15.75" customHeight="1" x14ac:dyDescent="0.3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spans="1:24" ht="15.75" customHeight="1" x14ac:dyDescent="0.3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spans="1:24" ht="15.75" customHeight="1" x14ac:dyDescent="0.3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spans="1:24" ht="15.75" customHeight="1" x14ac:dyDescent="0.3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spans="1:24" ht="15.75" customHeight="1" x14ac:dyDescent="0.3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spans="1:24" ht="15.75" customHeight="1" x14ac:dyDescent="0.3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spans="1:24" ht="15.75" customHeight="1" x14ac:dyDescent="0.3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spans="1:24" ht="15.75" customHeight="1" x14ac:dyDescent="0.3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spans="1:24" ht="15.75" customHeight="1" x14ac:dyDescent="0.3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spans="1:24" ht="15.75" customHeight="1" x14ac:dyDescent="0.3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spans="1:24" ht="15.75" customHeight="1" x14ac:dyDescent="0.3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spans="1:24" ht="15.75" customHeight="1" x14ac:dyDescent="0.3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spans="1:24" ht="15.75" customHeight="1" x14ac:dyDescent="0.3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spans="1:24" ht="15.75" customHeight="1" x14ac:dyDescent="0.3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spans="1:24" ht="15.75" customHeight="1" x14ac:dyDescent="0.3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spans="1:24" ht="15.75" customHeight="1" x14ac:dyDescent="0.3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spans="1:24" ht="15.75" customHeight="1" x14ac:dyDescent="0.3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spans="1:24" ht="15.75" customHeight="1" x14ac:dyDescent="0.3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spans="1:24" ht="15.75" customHeight="1" x14ac:dyDescent="0.3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spans="1:24" ht="15.75" customHeight="1" x14ac:dyDescent="0.3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spans="1:24" ht="15.75" customHeight="1" x14ac:dyDescent="0.3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spans="1:24" ht="15.75" customHeight="1" x14ac:dyDescent="0.3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spans="1:24" ht="15.75" customHeight="1" x14ac:dyDescent="0.3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spans="1:24" ht="15.75" customHeight="1" x14ac:dyDescent="0.3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spans="1:24" ht="15.75" customHeight="1" x14ac:dyDescent="0.3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spans="1:24" ht="15.75" customHeight="1" x14ac:dyDescent="0.3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spans="1:24" ht="15.75" customHeight="1" x14ac:dyDescent="0.3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spans="1:24" ht="15.75" customHeight="1" x14ac:dyDescent="0.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spans="1:24" ht="15.75" customHeight="1" x14ac:dyDescent="0.3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spans="1:24" ht="15.75" customHeight="1" x14ac:dyDescent="0.3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spans="1:24" ht="15.75" customHeight="1" x14ac:dyDescent="0.3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spans="1:24" ht="15.75" customHeight="1" x14ac:dyDescent="0.3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spans="1:24" ht="15.75" customHeight="1" x14ac:dyDescent="0.3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spans="1:24" ht="15.75" customHeight="1" x14ac:dyDescent="0.3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spans="1:24" ht="15.75" customHeight="1" x14ac:dyDescent="0.3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spans="1:24" ht="15.75" customHeight="1" x14ac:dyDescent="0.3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spans="1:24" ht="15.75" customHeight="1" x14ac:dyDescent="0.3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spans="1:24" ht="15.75" customHeight="1" x14ac:dyDescent="0.3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spans="1:24" ht="15.75" customHeight="1" x14ac:dyDescent="0.3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spans="1:24" ht="15.75" customHeight="1" x14ac:dyDescent="0.3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spans="1:24" ht="15.75" customHeight="1" x14ac:dyDescent="0.3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spans="1:24" ht="15.75" customHeight="1" x14ac:dyDescent="0.3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spans="1:24" ht="15.75" customHeight="1" x14ac:dyDescent="0.3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spans="1:24" ht="15.75" customHeight="1" x14ac:dyDescent="0.3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spans="1:24" ht="15.75" customHeight="1" x14ac:dyDescent="0.3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spans="1:24" ht="15.75" customHeight="1" x14ac:dyDescent="0.3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spans="1:24" ht="15.75" customHeight="1" x14ac:dyDescent="0.3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spans="1:24" ht="15.75" customHeight="1" x14ac:dyDescent="0.3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spans="1:24" ht="15.75" customHeight="1" x14ac:dyDescent="0.3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spans="1:24" ht="15.75" customHeight="1" x14ac:dyDescent="0.3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spans="1:24" ht="15.75" customHeight="1" x14ac:dyDescent="0.3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spans="1:24" ht="15.75" customHeight="1" x14ac:dyDescent="0.3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spans="1:24" ht="15.75" customHeight="1" x14ac:dyDescent="0.3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spans="1:24" ht="15.75" customHeight="1" x14ac:dyDescent="0.3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spans="1:24" ht="15.75" customHeight="1" x14ac:dyDescent="0.3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spans="1:24" ht="15.75" customHeight="1" x14ac:dyDescent="0.3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spans="1:24" ht="15.75" customHeight="1" x14ac:dyDescent="0.3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spans="1:24" ht="15.75" customHeight="1" x14ac:dyDescent="0.3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spans="1:24" ht="15.75" customHeight="1" x14ac:dyDescent="0.3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spans="1:24" ht="15.75" customHeight="1" x14ac:dyDescent="0.3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spans="1:24" ht="15.75" customHeight="1" x14ac:dyDescent="0.3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spans="1:24" ht="15.75" customHeight="1" x14ac:dyDescent="0.3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spans="1:24" ht="15.75" customHeight="1" x14ac:dyDescent="0.3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spans="1:24" ht="15.75" customHeight="1" x14ac:dyDescent="0.3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spans="1:24" ht="15.75" customHeight="1" x14ac:dyDescent="0.3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spans="1:24" ht="15.75" customHeight="1" x14ac:dyDescent="0.3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spans="1:24" ht="15.75" customHeight="1" x14ac:dyDescent="0.3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spans="1:24" ht="15.75" customHeight="1" x14ac:dyDescent="0.3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spans="1:24" ht="15.75" customHeight="1" x14ac:dyDescent="0.3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spans="1:24" ht="15.75" customHeight="1" x14ac:dyDescent="0.3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spans="1:24" ht="15.75" customHeight="1" x14ac:dyDescent="0.3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spans="1:24" ht="15.75" customHeight="1" x14ac:dyDescent="0.3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spans="1:24" ht="15.75" customHeight="1" x14ac:dyDescent="0.3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spans="1:24" ht="15.75" customHeight="1" x14ac:dyDescent="0.3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spans="1:24" ht="15.75" customHeight="1" x14ac:dyDescent="0.3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spans="1:24" ht="15.75" customHeight="1" x14ac:dyDescent="0.3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spans="1:24" ht="15.75" customHeight="1" x14ac:dyDescent="0.3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spans="1:24" ht="15.75" customHeight="1" x14ac:dyDescent="0.3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spans="1:24" ht="15.75" customHeight="1" x14ac:dyDescent="0.3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spans="1:24" ht="15.75" customHeight="1" x14ac:dyDescent="0.3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spans="1:24" ht="15.75" customHeight="1" x14ac:dyDescent="0.3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spans="1:24" ht="15.75" customHeight="1" x14ac:dyDescent="0.3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spans="1:24" ht="15.75" customHeight="1" x14ac:dyDescent="0.3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spans="1:24" ht="15.75" customHeight="1" x14ac:dyDescent="0.3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spans="1:24" ht="15.75" customHeight="1" x14ac:dyDescent="0.3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spans="1:24" ht="15.75" customHeight="1" x14ac:dyDescent="0.3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spans="1:24" ht="15.75" customHeight="1" x14ac:dyDescent="0.3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spans="1:24" ht="15.75" customHeight="1" x14ac:dyDescent="0.3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spans="1:24" ht="15.75" customHeight="1" x14ac:dyDescent="0.3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spans="1:24" ht="15.75" customHeight="1" x14ac:dyDescent="0.3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spans="1:24" ht="15.75" customHeight="1" x14ac:dyDescent="0.3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spans="1:24" ht="15.75" customHeight="1" x14ac:dyDescent="0.3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spans="1:24" ht="15.75" customHeight="1" x14ac:dyDescent="0.3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spans="1:24" ht="15.75" customHeight="1" x14ac:dyDescent="0.3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spans="1:24" ht="15.75" customHeight="1" x14ac:dyDescent="0.3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spans="1:24" ht="15.75" customHeight="1" x14ac:dyDescent="0.3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spans="1:24" ht="15.75" customHeight="1" x14ac:dyDescent="0.3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spans="1:24" ht="15.75" customHeight="1" x14ac:dyDescent="0.3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spans="1:24" ht="15.75" customHeight="1" x14ac:dyDescent="0.3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spans="1:24" ht="15.75" customHeight="1" x14ac:dyDescent="0.3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spans="1:24" ht="15.75" customHeight="1" x14ac:dyDescent="0.3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spans="1:24" ht="15.75" customHeight="1" x14ac:dyDescent="0.3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spans="1:24" ht="15.75" customHeight="1" x14ac:dyDescent="0.3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spans="1:24" ht="15.75" customHeight="1" x14ac:dyDescent="0.3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spans="1:24" ht="15.75" customHeight="1" x14ac:dyDescent="0.3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spans="1:24" ht="15.75" customHeight="1" x14ac:dyDescent="0.3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spans="1:24" ht="15.75" customHeight="1" x14ac:dyDescent="0.3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spans="1:24" ht="15.75" customHeight="1" x14ac:dyDescent="0.3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spans="1:24" ht="15.75" customHeight="1" x14ac:dyDescent="0.3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spans="1:24" ht="15.75" customHeight="1" x14ac:dyDescent="0.3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spans="1:24" ht="15.75" customHeight="1" x14ac:dyDescent="0.3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spans="1:24" ht="15.75" customHeight="1" x14ac:dyDescent="0.3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spans="1:24" ht="15.75" customHeight="1" x14ac:dyDescent="0.3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spans="1:24" ht="15.75" customHeight="1" x14ac:dyDescent="0.3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spans="1:24" ht="15.75" customHeight="1" x14ac:dyDescent="0.3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spans="1:24" ht="15.75" customHeight="1" x14ac:dyDescent="0.3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spans="1:24" ht="15.75" customHeight="1" x14ac:dyDescent="0.3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spans="1:24" ht="15.75" customHeight="1" x14ac:dyDescent="0.3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spans="1:24" ht="15.75" customHeight="1" x14ac:dyDescent="0.3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spans="1:24" ht="15.75" customHeight="1" x14ac:dyDescent="0.3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spans="1:24" ht="15.75" customHeight="1" x14ac:dyDescent="0.3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spans="1:24" ht="15.75" customHeight="1" x14ac:dyDescent="0.3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spans="1:24" ht="15.75" customHeight="1" x14ac:dyDescent="0.3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spans="1:24" ht="15.75" customHeight="1" x14ac:dyDescent="0.3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spans="1:24" ht="15.75" customHeight="1" x14ac:dyDescent="0.3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spans="1:24" ht="15.75" customHeight="1" x14ac:dyDescent="0.3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spans="1:24" ht="15.75" customHeight="1" x14ac:dyDescent="0.3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spans="1:24" ht="15.75" customHeight="1" x14ac:dyDescent="0.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spans="1:24" ht="15.75" customHeight="1" x14ac:dyDescent="0.3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spans="1:24" ht="15.75" customHeight="1" x14ac:dyDescent="0.3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spans="1:24" ht="15.75" customHeight="1" x14ac:dyDescent="0.3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spans="1:24" ht="15.75" customHeight="1" x14ac:dyDescent="0.3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spans="1:24" ht="15.75" customHeight="1" x14ac:dyDescent="0.3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spans="1:24" ht="15.75" customHeight="1" x14ac:dyDescent="0.3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spans="1:24" ht="15.75" customHeight="1" x14ac:dyDescent="0.3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spans="1:24" ht="15.75" customHeight="1" x14ac:dyDescent="0.3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spans="1:24" ht="15.75" customHeight="1" x14ac:dyDescent="0.3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spans="1:24" ht="15.75" customHeight="1" x14ac:dyDescent="0.3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spans="1:24" ht="15.75" customHeight="1" x14ac:dyDescent="0.3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spans="1:24" ht="15.75" customHeight="1" x14ac:dyDescent="0.3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spans="1:24" ht="15.75" customHeight="1" x14ac:dyDescent="0.3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spans="1:24" ht="15.75" customHeight="1" x14ac:dyDescent="0.3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spans="1:24" ht="15.75" customHeight="1" x14ac:dyDescent="0.3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spans="1:24" ht="15.75" customHeight="1" x14ac:dyDescent="0.3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spans="1:24" ht="15.75" customHeight="1" x14ac:dyDescent="0.3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spans="1:24" ht="15.75" customHeight="1" x14ac:dyDescent="0.3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spans="1:24" ht="15.75" customHeight="1" x14ac:dyDescent="0.3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spans="1:24" ht="15.75" customHeight="1" x14ac:dyDescent="0.3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spans="1:24" ht="15.75" customHeight="1" x14ac:dyDescent="0.3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spans="1:24" ht="15.75" customHeight="1" x14ac:dyDescent="0.3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spans="1:24" ht="15.75" customHeight="1" x14ac:dyDescent="0.3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spans="1:24" ht="15.75" customHeight="1" x14ac:dyDescent="0.3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spans="1:24" ht="15.75" customHeight="1" x14ac:dyDescent="0.3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spans="1:24" ht="15.75" customHeight="1" x14ac:dyDescent="0.3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spans="1:24" ht="15.75" customHeight="1" x14ac:dyDescent="0.3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spans="1:24" ht="15.75" customHeight="1" x14ac:dyDescent="0.3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spans="1:24" ht="15.75" customHeight="1" x14ac:dyDescent="0.3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spans="1:24" ht="15.75" customHeight="1" x14ac:dyDescent="0.3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spans="1:24" ht="15.75" customHeight="1" x14ac:dyDescent="0.3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spans="1:24" ht="15.75" customHeight="1" x14ac:dyDescent="0.3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spans="1:24" ht="15.75" customHeight="1" x14ac:dyDescent="0.3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spans="1:24" ht="15.75" customHeight="1" x14ac:dyDescent="0.3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spans="1:24" ht="15.75" customHeight="1" x14ac:dyDescent="0.3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spans="1:24" ht="15.75" customHeight="1" x14ac:dyDescent="0.3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spans="1:24" ht="15.75" customHeight="1" x14ac:dyDescent="0.3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spans="1:24" ht="15.75" customHeight="1" x14ac:dyDescent="0.3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spans="1:24" ht="15.75" customHeight="1" x14ac:dyDescent="0.3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spans="1:24" ht="15.75" customHeight="1" x14ac:dyDescent="0.3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spans="1:24" ht="15.75" customHeight="1" x14ac:dyDescent="0.3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spans="1:24" ht="15.75" customHeight="1" x14ac:dyDescent="0.3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spans="1:24" ht="15.75" customHeight="1" x14ac:dyDescent="0.3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spans="1:24" ht="15.75" customHeight="1" x14ac:dyDescent="0.3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spans="1:24" ht="15.75" customHeight="1" x14ac:dyDescent="0.3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spans="1:24" ht="15.75" customHeight="1" x14ac:dyDescent="0.3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spans="1:24" ht="15.75" customHeight="1" x14ac:dyDescent="0.3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spans="1:24" ht="15.75" customHeight="1" x14ac:dyDescent="0.3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spans="1:24" ht="15.75" customHeight="1" x14ac:dyDescent="0.3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spans="1:24" ht="15.75" customHeight="1" x14ac:dyDescent="0.3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spans="1:24" ht="15.75" customHeight="1" x14ac:dyDescent="0.3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spans="1:24" ht="15.75" customHeight="1" x14ac:dyDescent="0.3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spans="1:24" ht="15.75" customHeight="1" x14ac:dyDescent="0.3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spans="1:24" ht="15.75" customHeight="1" x14ac:dyDescent="0.3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spans="1:24" ht="15.75" customHeight="1" x14ac:dyDescent="0.3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spans="1:24" ht="15.75" customHeight="1" x14ac:dyDescent="0.3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spans="1:24" ht="15.75" customHeight="1" x14ac:dyDescent="0.3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spans="1:24" ht="15.75" customHeight="1" x14ac:dyDescent="0.3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spans="1:24" ht="15.75" customHeight="1" x14ac:dyDescent="0.3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spans="1:24" ht="15.75" customHeight="1" x14ac:dyDescent="0.3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spans="1:24" ht="15.75" customHeight="1" x14ac:dyDescent="0.3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spans="1:24" ht="15.75" customHeight="1" x14ac:dyDescent="0.3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spans="1:24" ht="15.75" customHeight="1" x14ac:dyDescent="0.3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spans="1:24" ht="15.75" customHeight="1" x14ac:dyDescent="0.3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spans="1:24" ht="15.75" customHeight="1" x14ac:dyDescent="0.3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spans="1:24" ht="15.75" customHeight="1" x14ac:dyDescent="0.3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spans="1:24" ht="15.75" customHeight="1" x14ac:dyDescent="0.3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spans="1:24" ht="15.75" customHeight="1" x14ac:dyDescent="0.3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spans="1:24" ht="15.75" customHeight="1" x14ac:dyDescent="0.3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spans="1:24" ht="15.75" customHeight="1" x14ac:dyDescent="0.3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spans="1:24" ht="15.75" customHeight="1" x14ac:dyDescent="0.3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spans="1:24" ht="15.75" customHeight="1" x14ac:dyDescent="0.3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spans="1:24" ht="15.75" customHeight="1" x14ac:dyDescent="0.3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spans="1:24" ht="15.75" customHeight="1" x14ac:dyDescent="0.3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spans="1:24" ht="15.75" customHeight="1" x14ac:dyDescent="0.3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spans="1:24" ht="15.75" customHeight="1" x14ac:dyDescent="0.3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spans="1:24" ht="15.75" customHeight="1" x14ac:dyDescent="0.3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spans="1:24" ht="15.75" customHeight="1" x14ac:dyDescent="0.3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spans="1:24" ht="15.75" customHeight="1" x14ac:dyDescent="0.3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spans="1:24" ht="15.75" customHeight="1" x14ac:dyDescent="0.3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spans="1:24" ht="15.75" customHeight="1" x14ac:dyDescent="0.3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spans="1:24" ht="15.75" customHeight="1" x14ac:dyDescent="0.3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spans="1:24" ht="15.75" customHeight="1" x14ac:dyDescent="0.3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spans="1:24" ht="15.75" customHeight="1" x14ac:dyDescent="0.3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spans="1:24" ht="15.75" customHeight="1" x14ac:dyDescent="0.3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spans="1:24" ht="15.75" customHeight="1" x14ac:dyDescent="0.3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spans="1:24" ht="15.75" customHeight="1" x14ac:dyDescent="0.3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spans="1:24" ht="15.75" customHeight="1" x14ac:dyDescent="0.3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spans="1:24" ht="15.75" customHeight="1" x14ac:dyDescent="0.3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spans="1:24" ht="15.75" customHeight="1" x14ac:dyDescent="0.3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spans="1:24" ht="15.75" customHeight="1" x14ac:dyDescent="0.3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spans="1:24" ht="15.75" customHeight="1" x14ac:dyDescent="0.3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spans="1:24" ht="15.75" customHeight="1" x14ac:dyDescent="0.3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spans="1:24" ht="15.75" customHeight="1" x14ac:dyDescent="0.3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spans="1:24" ht="15.75" customHeight="1" x14ac:dyDescent="0.3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spans="1:24" ht="15.75" customHeight="1" x14ac:dyDescent="0.3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spans="1:24" ht="15.75" customHeight="1" x14ac:dyDescent="0.3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spans="1:24" ht="15.75" customHeight="1" x14ac:dyDescent="0.3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spans="1:24" ht="15.75" customHeight="1" x14ac:dyDescent="0.3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spans="1:24" ht="15.75" customHeight="1" x14ac:dyDescent="0.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spans="1:24" ht="15.75" customHeight="1" x14ac:dyDescent="0.3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spans="1:24" ht="15.75" customHeight="1" x14ac:dyDescent="0.3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spans="1:24" ht="15.75" customHeight="1" x14ac:dyDescent="0.3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spans="1:24" ht="15.75" customHeight="1" x14ac:dyDescent="0.3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spans="1:24" ht="15.75" customHeight="1" x14ac:dyDescent="0.3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spans="1:24" ht="15.75" customHeight="1" x14ac:dyDescent="0.3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spans="1:24" ht="15.75" customHeight="1" x14ac:dyDescent="0.3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spans="1:24" ht="15.75" customHeight="1" x14ac:dyDescent="0.3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spans="1:24" ht="15.75" customHeight="1" x14ac:dyDescent="0.3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spans="1:24" ht="15.75" customHeight="1" x14ac:dyDescent="0.3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spans="1:24" ht="15.75" customHeight="1" x14ac:dyDescent="0.3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spans="1:24" ht="15.75" customHeight="1" x14ac:dyDescent="0.3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spans="1:24" ht="15.75" customHeight="1" x14ac:dyDescent="0.3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spans="1:24" ht="15.75" customHeight="1" x14ac:dyDescent="0.3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spans="1:24" ht="15.75" customHeight="1" x14ac:dyDescent="0.3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spans="1:24" ht="15.75" customHeight="1" x14ac:dyDescent="0.3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spans="1:24" ht="15.75" customHeight="1" x14ac:dyDescent="0.3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spans="1:24" ht="15.75" customHeight="1" x14ac:dyDescent="0.3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spans="1:24" ht="15.75" customHeight="1" x14ac:dyDescent="0.3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spans="1:24" ht="15.75" customHeight="1" x14ac:dyDescent="0.3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spans="1:24" ht="15.75" customHeight="1" x14ac:dyDescent="0.3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spans="1:24" ht="15.75" customHeight="1" x14ac:dyDescent="0.3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spans="1:24" ht="15.75" customHeight="1" x14ac:dyDescent="0.3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spans="1:24" ht="15.75" customHeight="1" x14ac:dyDescent="0.3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spans="1:24" ht="15.75" customHeight="1" x14ac:dyDescent="0.3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spans="1:24" ht="15.75" customHeight="1" x14ac:dyDescent="0.3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spans="1:24" ht="15.75" customHeight="1" x14ac:dyDescent="0.3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spans="1:24" ht="15.75" customHeight="1" x14ac:dyDescent="0.3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spans="1:24" ht="15.75" customHeight="1" x14ac:dyDescent="0.3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spans="1:24" ht="15.75" customHeight="1" x14ac:dyDescent="0.3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spans="1:24" ht="15.75" customHeight="1" x14ac:dyDescent="0.3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spans="1:24" ht="15.75" customHeight="1" x14ac:dyDescent="0.3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spans="1:24" ht="15.75" customHeight="1" x14ac:dyDescent="0.3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spans="1:24" ht="15.75" customHeight="1" x14ac:dyDescent="0.3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spans="1:24" ht="15.75" customHeight="1" x14ac:dyDescent="0.3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spans="1:24" ht="15.75" customHeight="1" x14ac:dyDescent="0.3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spans="1:24" ht="15.75" customHeight="1" x14ac:dyDescent="0.3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spans="1:24" ht="15.75" customHeight="1" x14ac:dyDescent="0.3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spans="1:24" ht="15.75" customHeight="1" x14ac:dyDescent="0.3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spans="1:24" ht="15.75" customHeight="1" x14ac:dyDescent="0.3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spans="1:24" ht="15.75" customHeight="1" x14ac:dyDescent="0.3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spans="1:24" ht="15.75" customHeight="1" x14ac:dyDescent="0.3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spans="1:24" ht="15.75" customHeight="1" x14ac:dyDescent="0.3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spans="1:24" ht="15.75" customHeight="1" x14ac:dyDescent="0.3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spans="1:24" ht="15.75" customHeight="1" x14ac:dyDescent="0.3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spans="1:24" ht="15.75" customHeight="1" x14ac:dyDescent="0.3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spans="1:24" ht="15.75" customHeight="1" x14ac:dyDescent="0.3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spans="1:24" ht="15.75" customHeight="1" x14ac:dyDescent="0.3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spans="1:24" ht="15.75" customHeight="1" x14ac:dyDescent="0.3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spans="1:24" ht="15.75" customHeight="1" x14ac:dyDescent="0.3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spans="1:24" ht="15.75" customHeight="1" x14ac:dyDescent="0.3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spans="1:24" ht="15.75" customHeight="1" x14ac:dyDescent="0.3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spans="1:24" ht="15.75" customHeight="1" x14ac:dyDescent="0.3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spans="1:24" ht="15.75" customHeight="1" x14ac:dyDescent="0.3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spans="1:24" ht="15.75" customHeight="1" x14ac:dyDescent="0.3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spans="1:24" ht="15.75" customHeight="1" x14ac:dyDescent="0.3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spans="1:24" ht="15.75" customHeight="1" x14ac:dyDescent="0.3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spans="1:24" ht="15.75" customHeight="1" x14ac:dyDescent="0.3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spans="1:24" ht="15.75" customHeight="1" x14ac:dyDescent="0.3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spans="1:24" ht="15.75" customHeight="1" x14ac:dyDescent="0.3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spans="1:24" ht="15.75" customHeight="1" x14ac:dyDescent="0.3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spans="1:24" ht="15.75" customHeight="1" x14ac:dyDescent="0.3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spans="1:24" ht="15.75" customHeight="1" x14ac:dyDescent="0.3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spans="1:24" ht="15.75" customHeight="1" x14ac:dyDescent="0.3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spans="1:24" ht="15.75" customHeight="1" x14ac:dyDescent="0.3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spans="1:24" ht="15.75" customHeight="1" x14ac:dyDescent="0.3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spans="1:24" ht="15.75" customHeight="1" x14ac:dyDescent="0.3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spans="1:24" ht="15.75" customHeight="1" x14ac:dyDescent="0.3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spans="1:24" ht="15.75" customHeight="1" x14ac:dyDescent="0.3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spans="1:24" ht="15.75" customHeight="1" x14ac:dyDescent="0.3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spans="1:24" ht="15.75" customHeight="1" x14ac:dyDescent="0.3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spans="1:24" ht="15.75" customHeight="1" x14ac:dyDescent="0.3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spans="1:24" ht="15.75" customHeight="1" x14ac:dyDescent="0.3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spans="1:24" ht="15.75" customHeight="1" x14ac:dyDescent="0.3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spans="1:24" ht="15.75" customHeight="1" x14ac:dyDescent="0.3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spans="1:24" ht="15.75" customHeight="1" x14ac:dyDescent="0.3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spans="1:24" ht="15.75" customHeight="1" x14ac:dyDescent="0.3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spans="1:24" ht="15.75" customHeight="1" x14ac:dyDescent="0.3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spans="1:24" ht="15.75" customHeight="1" x14ac:dyDescent="0.3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spans="1:24" ht="15.75" customHeight="1" x14ac:dyDescent="0.3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spans="1:24" ht="15.75" customHeight="1" x14ac:dyDescent="0.3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spans="1:24" ht="15.75" customHeight="1" x14ac:dyDescent="0.3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spans="1:24" ht="15.75" customHeight="1" x14ac:dyDescent="0.3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spans="1:24" ht="15.75" customHeight="1" x14ac:dyDescent="0.3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spans="1:24" ht="15.75" customHeight="1" x14ac:dyDescent="0.3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spans="1:24" ht="15.75" customHeight="1" x14ac:dyDescent="0.3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spans="1:24" ht="15.75" customHeight="1" x14ac:dyDescent="0.3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spans="1:24" ht="15.75" customHeight="1" x14ac:dyDescent="0.3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spans="1:24" ht="15.75" customHeight="1" x14ac:dyDescent="0.3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spans="1:24" ht="15.75" customHeight="1" x14ac:dyDescent="0.3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spans="1:24" ht="15.75" customHeight="1" x14ac:dyDescent="0.3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spans="1:24" ht="15.75" customHeight="1" x14ac:dyDescent="0.3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spans="1:24" ht="15.75" customHeight="1" x14ac:dyDescent="0.3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spans="1:24" ht="15.75" customHeight="1" x14ac:dyDescent="0.3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spans="1:24" ht="15.75" customHeight="1" x14ac:dyDescent="0.3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spans="1:24" ht="15.75" customHeight="1" x14ac:dyDescent="0.3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spans="1:24" ht="15.75" customHeight="1" x14ac:dyDescent="0.3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spans="1:24" ht="15.75" customHeight="1" x14ac:dyDescent="0.3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spans="1:24" ht="15.75" customHeight="1" x14ac:dyDescent="0.3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spans="1:24" ht="15.75" customHeight="1" x14ac:dyDescent="0.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spans="1:24" ht="15.75" customHeight="1" x14ac:dyDescent="0.3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spans="1:24" ht="15.75" customHeight="1" x14ac:dyDescent="0.3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spans="1:24" ht="15.75" customHeight="1" x14ac:dyDescent="0.3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spans="1:24" ht="15.75" customHeight="1" x14ac:dyDescent="0.3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spans="1:24" ht="15.75" customHeight="1" x14ac:dyDescent="0.3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spans="1:24" ht="15.75" customHeight="1" x14ac:dyDescent="0.3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spans="1:24" ht="15.75" customHeight="1" x14ac:dyDescent="0.3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spans="1:24" ht="15.75" customHeight="1" x14ac:dyDescent="0.3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spans="1:24" ht="15.75" customHeight="1" x14ac:dyDescent="0.3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spans="1:24" ht="15.75" customHeight="1" x14ac:dyDescent="0.3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spans="1:24" ht="15.75" customHeight="1" x14ac:dyDescent="0.3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spans="1:24" ht="15.75" customHeight="1" x14ac:dyDescent="0.3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spans="1:24" ht="15.75" customHeight="1" x14ac:dyDescent="0.3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spans="1:24" ht="15.75" customHeight="1" x14ac:dyDescent="0.3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spans="1:24" ht="15.75" customHeight="1" x14ac:dyDescent="0.3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spans="1:24" ht="15.75" customHeight="1" x14ac:dyDescent="0.3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spans="1:24" ht="15.75" customHeight="1" x14ac:dyDescent="0.3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spans="1:24" ht="15.75" customHeight="1" x14ac:dyDescent="0.3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spans="1:24" ht="15.75" customHeight="1" x14ac:dyDescent="0.3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spans="1:24" ht="15.75" customHeight="1" x14ac:dyDescent="0.3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spans="1:24" ht="15.75" customHeight="1" x14ac:dyDescent="0.3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spans="1:24" ht="15.75" customHeight="1" x14ac:dyDescent="0.3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spans="1:24" ht="15.75" customHeight="1" x14ac:dyDescent="0.3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spans="1:24" ht="15.75" customHeight="1" x14ac:dyDescent="0.3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spans="1:24" ht="15.75" customHeight="1" x14ac:dyDescent="0.3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spans="1:24" ht="15.75" customHeight="1" x14ac:dyDescent="0.3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spans="1:24" ht="15.75" customHeight="1" x14ac:dyDescent="0.3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spans="1:24" ht="15.75" customHeight="1" x14ac:dyDescent="0.3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spans="1:24" ht="15.75" customHeight="1" x14ac:dyDescent="0.3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spans="1:24" ht="15.75" customHeight="1" x14ac:dyDescent="0.3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spans="1:24" ht="15.75" customHeight="1" x14ac:dyDescent="0.3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spans="1:24" ht="15.75" customHeight="1" x14ac:dyDescent="0.3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spans="1:24" ht="15.75" customHeight="1" x14ac:dyDescent="0.3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spans="1:24" ht="15.75" customHeight="1" x14ac:dyDescent="0.3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spans="1:24" ht="15.75" customHeight="1" x14ac:dyDescent="0.3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spans="1:24" ht="15.75" customHeight="1" x14ac:dyDescent="0.3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spans="1:24" ht="15.75" customHeight="1" x14ac:dyDescent="0.3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spans="1:24" ht="15.75" customHeight="1" x14ac:dyDescent="0.3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spans="1:24" ht="15.75" customHeight="1" x14ac:dyDescent="0.3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spans="1:24" ht="15.75" customHeight="1" x14ac:dyDescent="0.3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spans="1:24" ht="15.75" customHeight="1" x14ac:dyDescent="0.3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spans="1:24" ht="15.75" customHeight="1" x14ac:dyDescent="0.3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spans="1:24" ht="15.75" customHeight="1" x14ac:dyDescent="0.3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spans="1:24" ht="15.75" customHeight="1" x14ac:dyDescent="0.3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spans="1:24" ht="15.75" customHeight="1" x14ac:dyDescent="0.3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spans="1:24" ht="15.75" customHeight="1" x14ac:dyDescent="0.3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spans="1:24" ht="15.75" customHeight="1" x14ac:dyDescent="0.3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spans="1:24" ht="15.75" customHeight="1" x14ac:dyDescent="0.3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spans="1:24" ht="15.75" customHeight="1" x14ac:dyDescent="0.3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spans="1:24" ht="15.75" customHeight="1" x14ac:dyDescent="0.3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spans="1:24" ht="15.75" customHeight="1" x14ac:dyDescent="0.3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spans="1:24" ht="15.75" customHeight="1" x14ac:dyDescent="0.3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spans="1:24" ht="15.75" customHeight="1" x14ac:dyDescent="0.3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spans="1:24" ht="15.75" customHeight="1" x14ac:dyDescent="0.3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spans="1:24" ht="15.75" customHeight="1" x14ac:dyDescent="0.3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spans="1:24" ht="15.75" customHeight="1" x14ac:dyDescent="0.3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spans="1:24" ht="15.75" customHeight="1" x14ac:dyDescent="0.3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spans="1:24" ht="15.75" customHeight="1" x14ac:dyDescent="0.3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spans="1:24" ht="15.75" customHeight="1" x14ac:dyDescent="0.3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spans="1:24" ht="15.75" customHeight="1" x14ac:dyDescent="0.3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spans="1:24" ht="15.75" customHeight="1" x14ac:dyDescent="0.3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spans="1:24" ht="15.75" customHeight="1" x14ac:dyDescent="0.3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spans="1:24" ht="15.75" customHeight="1" x14ac:dyDescent="0.3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spans="1:24" ht="15.75" customHeight="1" x14ac:dyDescent="0.3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spans="1:24" ht="15.75" customHeight="1" x14ac:dyDescent="0.3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spans="1:24" ht="15.75" customHeight="1" x14ac:dyDescent="0.3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spans="1:24" ht="15.75" customHeight="1" x14ac:dyDescent="0.3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spans="1:24" ht="15.75" customHeight="1" x14ac:dyDescent="0.3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spans="1:24" ht="15.75" customHeight="1" x14ac:dyDescent="0.3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spans="1:24" ht="15.75" customHeight="1" x14ac:dyDescent="0.3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spans="1:24" ht="15.75" customHeight="1" x14ac:dyDescent="0.3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spans="1:24" ht="15.75" customHeight="1" x14ac:dyDescent="0.3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spans="1:24" ht="15.75" customHeight="1" x14ac:dyDescent="0.3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spans="1:24" ht="15.75" customHeight="1" x14ac:dyDescent="0.3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spans="1:24" ht="15.75" customHeight="1" x14ac:dyDescent="0.3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spans="1:24" ht="15.75" customHeight="1" x14ac:dyDescent="0.3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spans="1:24" ht="15.75" customHeight="1" x14ac:dyDescent="0.3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spans="1:24" ht="15.75" customHeight="1" x14ac:dyDescent="0.3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spans="1:24" ht="15.75" customHeight="1" x14ac:dyDescent="0.3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spans="1:24" ht="15.75" customHeight="1" x14ac:dyDescent="0.3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spans="1:24" ht="15.75" customHeight="1" x14ac:dyDescent="0.3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spans="1:24" ht="15.75" customHeight="1" x14ac:dyDescent="0.3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spans="1:24" ht="15.75" customHeight="1" x14ac:dyDescent="0.3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spans="1:24" ht="15.75" customHeight="1" x14ac:dyDescent="0.3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spans="1:24" ht="15.75" customHeight="1" x14ac:dyDescent="0.3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spans="1:24" ht="15.75" customHeight="1" x14ac:dyDescent="0.3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spans="1:24" ht="15.75" customHeight="1" x14ac:dyDescent="0.3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spans="1:24" ht="15.75" customHeight="1" x14ac:dyDescent="0.3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spans="1:24" ht="15.75" customHeight="1" x14ac:dyDescent="0.3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spans="1:24" ht="15.75" customHeight="1" x14ac:dyDescent="0.3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spans="1:24" ht="15.75" customHeight="1" x14ac:dyDescent="0.3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spans="1:24" ht="15.75" customHeight="1" x14ac:dyDescent="0.3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spans="1:24" ht="15.75" customHeight="1" x14ac:dyDescent="0.3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spans="1:24" ht="15.75" customHeight="1" x14ac:dyDescent="0.3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spans="1:24" ht="15.75" customHeight="1" x14ac:dyDescent="0.3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spans="1:24" ht="15.75" customHeight="1" x14ac:dyDescent="0.3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spans="1:24" ht="15.75" customHeight="1" x14ac:dyDescent="0.3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spans="1:24" ht="15.75" customHeight="1" x14ac:dyDescent="0.3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spans="1:24" ht="15.75" customHeight="1" x14ac:dyDescent="0.3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spans="1:24" ht="15.75" customHeight="1" x14ac:dyDescent="0.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spans="1:24" ht="15.75" customHeight="1" x14ac:dyDescent="0.3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spans="1:24" ht="15.75" customHeight="1" x14ac:dyDescent="0.3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spans="1:24" ht="15.75" customHeight="1" x14ac:dyDescent="0.3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spans="1:24" ht="15.75" customHeight="1" x14ac:dyDescent="0.3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spans="1:24" ht="15.75" customHeight="1" x14ac:dyDescent="0.3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spans="1:24" ht="15.75" customHeight="1" x14ac:dyDescent="0.3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spans="1:24" ht="15.75" customHeight="1" x14ac:dyDescent="0.3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spans="1:24" ht="15.75" customHeight="1" x14ac:dyDescent="0.3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spans="1:24" ht="15.75" customHeight="1" x14ac:dyDescent="0.3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spans="1:24" ht="15.75" customHeight="1" x14ac:dyDescent="0.3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spans="1:24" ht="15.75" customHeight="1" x14ac:dyDescent="0.3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spans="1:24" ht="15.75" customHeight="1" x14ac:dyDescent="0.3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spans="1:24" ht="15.75" customHeight="1" x14ac:dyDescent="0.3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spans="1:24" ht="15.75" customHeight="1" x14ac:dyDescent="0.3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spans="1:24" ht="15.75" customHeight="1" x14ac:dyDescent="0.3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spans="1:24" ht="15.75" customHeight="1" x14ac:dyDescent="0.3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spans="1:24" ht="15.75" customHeight="1" x14ac:dyDescent="0.3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spans="1:24" ht="15.75" customHeight="1" x14ac:dyDescent="0.3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spans="1:24" ht="15.75" customHeight="1" x14ac:dyDescent="0.3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spans="1:24" ht="15.75" customHeight="1" x14ac:dyDescent="0.3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spans="1:24" ht="15.75" customHeight="1" x14ac:dyDescent="0.3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spans="1:24" ht="15.75" customHeight="1" x14ac:dyDescent="0.3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spans="1:24" ht="15.75" customHeight="1" x14ac:dyDescent="0.3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spans="1:24" ht="15.75" customHeight="1" x14ac:dyDescent="0.3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spans="1:24" ht="15.75" customHeight="1" x14ac:dyDescent="0.3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spans="1:24" ht="15.75" customHeight="1" x14ac:dyDescent="0.3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spans="1:24" ht="15.75" customHeight="1" x14ac:dyDescent="0.3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spans="1:24" ht="15.75" customHeight="1" x14ac:dyDescent="0.3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spans="1:24" ht="15.75" customHeight="1" x14ac:dyDescent="0.3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spans="1:24" ht="15.75" customHeight="1" x14ac:dyDescent="0.3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spans="1:24" ht="15.75" customHeight="1" x14ac:dyDescent="0.3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spans="1:24" ht="15.75" customHeight="1" x14ac:dyDescent="0.3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spans="1:24" ht="15.75" customHeight="1" x14ac:dyDescent="0.3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spans="1:24" ht="15.75" customHeight="1" x14ac:dyDescent="0.3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spans="1:24" ht="15.75" customHeight="1" x14ac:dyDescent="0.3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spans="1:24" ht="15.75" customHeight="1" x14ac:dyDescent="0.3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spans="1:24" ht="15.75" customHeight="1" x14ac:dyDescent="0.3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spans="1:24" ht="15.75" customHeight="1" x14ac:dyDescent="0.3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spans="1:24" ht="15.75" customHeight="1" x14ac:dyDescent="0.3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spans="1:24" ht="15.75" customHeight="1" x14ac:dyDescent="0.3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spans="1:24" ht="15.75" customHeight="1" x14ac:dyDescent="0.3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spans="1:24" ht="15.75" customHeight="1" x14ac:dyDescent="0.3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spans="1:24" ht="15.75" customHeight="1" x14ac:dyDescent="0.3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spans="1:24" ht="15.75" customHeight="1" x14ac:dyDescent="0.3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spans="1:24" ht="15.75" customHeight="1" x14ac:dyDescent="0.3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spans="1:24" ht="15.75" customHeight="1" x14ac:dyDescent="0.3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spans="1:24" ht="15.75" customHeight="1" x14ac:dyDescent="0.3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spans="1:24" ht="15.75" customHeight="1" x14ac:dyDescent="0.3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spans="1:24" ht="15.75" customHeight="1" x14ac:dyDescent="0.3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spans="1:24" ht="15.75" customHeight="1" x14ac:dyDescent="0.3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spans="1:24" ht="15.75" customHeight="1" x14ac:dyDescent="0.3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spans="1:24" ht="15.75" customHeight="1" x14ac:dyDescent="0.3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spans="1:24" ht="15.75" customHeight="1" x14ac:dyDescent="0.3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spans="1:24" ht="15.75" customHeight="1" x14ac:dyDescent="0.3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spans="1:24" ht="15.75" customHeight="1" x14ac:dyDescent="0.3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spans="1:24" ht="15.75" customHeight="1" x14ac:dyDescent="0.3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spans="1:24" ht="15.75" customHeight="1" x14ac:dyDescent="0.3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spans="1:24" ht="15.75" customHeight="1" x14ac:dyDescent="0.3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spans="1:24" ht="15.75" customHeight="1" x14ac:dyDescent="0.3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spans="1:24" ht="15.75" customHeight="1" x14ac:dyDescent="0.3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spans="1:24" ht="15.75" customHeight="1" x14ac:dyDescent="0.3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spans="1:24" ht="15.75" customHeight="1" x14ac:dyDescent="0.3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spans="1:24" ht="15.75" customHeight="1" x14ac:dyDescent="0.3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spans="1:24" ht="15.75" customHeight="1" x14ac:dyDescent="0.3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spans="1:24" ht="15.75" customHeight="1" x14ac:dyDescent="0.3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spans="1:24" ht="15.75" customHeight="1" x14ac:dyDescent="0.3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spans="1:24" ht="15.75" customHeight="1" x14ac:dyDescent="0.3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spans="1:24" ht="15.75" customHeight="1" x14ac:dyDescent="0.3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spans="1:24" ht="15.75" customHeight="1" x14ac:dyDescent="0.3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spans="1:24" ht="15.75" customHeight="1" x14ac:dyDescent="0.3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spans="1:24" ht="15.75" customHeight="1" x14ac:dyDescent="0.3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spans="1:24" ht="15.75" customHeight="1" x14ac:dyDescent="0.3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spans="1:24" ht="15.75" customHeight="1" x14ac:dyDescent="0.3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spans="1:24" ht="15.75" customHeight="1" x14ac:dyDescent="0.3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spans="1:24" ht="15.75" customHeight="1" x14ac:dyDescent="0.3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spans="1:24" ht="15.75" customHeight="1" x14ac:dyDescent="0.3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spans="1:24" ht="15.75" customHeight="1" x14ac:dyDescent="0.3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spans="1:24" ht="15.75" customHeight="1" x14ac:dyDescent="0.3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spans="1:24" ht="15.75" customHeight="1" x14ac:dyDescent="0.3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spans="1:24" ht="15.75" customHeight="1" x14ac:dyDescent="0.3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spans="1:24" ht="15.75" customHeight="1" x14ac:dyDescent="0.3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spans="1:24" ht="15.75" customHeight="1" x14ac:dyDescent="0.3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spans="1:24" ht="15.75" customHeight="1" x14ac:dyDescent="0.3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spans="1:24" ht="15.75" customHeight="1" x14ac:dyDescent="0.3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spans="1:24" ht="15.75" customHeight="1" x14ac:dyDescent="0.3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spans="1:24" ht="15.75" customHeight="1" x14ac:dyDescent="0.3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spans="1:24" ht="15.75" customHeight="1" x14ac:dyDescent="0.3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spans="1:24" ht="15.75" customHeight="1" x14ac:dyDescent="0.3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spans="1:24" ht="15.75" customHeight="1" x14ac:dyDescent="0.3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spans="1:24" ht="15.75" customHeight="1" x14ac:dyDescent="0.3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spans="1:24" ht="15.75" customHeight="1" x14ac:dyDescent="0.3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spans="1:24" ht="15.75" customHeight="1" x14ac:dyDescent="0.3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spans="1:24" ht="15.75" customHeight="1" x14ac:dyDescent="0.3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spans="1:24" ht="15.75" customHeight="1" x14ac:dyDescent="0.3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spans="1:24" ht="15.75" customHeight="1" x14ac:dyDescent="0.3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spans="1:24" ht="15.75" customHeight="1" x14ac:dyDescent="0.3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spans="1:24" ht="15.75" customHeight="1" x14ac:dyDescent="0.3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spans="1:24" ht="15.75" customHeight="1" x14ac:dyDescent="0.3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spans="1:24" ht="15.75" customHeight="1" x14ac:dyDescent="0.3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spans="1:24" ht="15.75" customHeight="1" x14ac:dyDescent="0.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spans="1:24" ht="15.75" customHeight="1" x14ac:dyDescent="0.3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spans="1:24" ht="15.75" customHeight="1" x14ac:dyDescent="0.3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spans="1:24" ht="15.75" customHeight="1" x14ac:dyDescent="0.3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spans="1:24" ht="15.75" customHeight="1" x14ac:dyDescent="0.3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spans="1:24" ht="15.75" customHeight="1" x14ac:dyDescent="0.3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spans="1:24" ht="15.75" customHeight="1" x14ac:dyDescent="0.3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spans="1:24" ht="15.75" customHeight="1" x14ac:dyDescent="0.3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spans="1:24" ht="15.75" customHeight="1" x14ac:dyDescent="0.3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spans="1:24" ht="15.75" customHeight="1" x14ac:dyDescent="0.3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spans="1:24" ht="15.75" customHeight="1" x14ac:dyDescent="0.3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spans="1:24" ht="15.75" customHeight="1" x14ac:dyDescent="0.3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spans="1:24" ht="15.75" customHeight="1" x14ac:dyDescent="0.3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spans="1:24" ht="15.75" customHeight="1" x14ac:dyDescent="0.3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spans="1:24" ht="15.75" customHeight="1" x14ac:dyDescent="0.3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spans="1:24" ht="15.75" customHeight="1" x14ac:dyDescent="0.3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spans="1:24" ht="15.75" customHeight="1" x14ac:dyDescent="0.3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spans="1:24" ht="15.75" customHeight="1" x14ac:dyDescent="0.3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spans="1:24" ht="15.75" customHeight="1" x14ac:dyDescent="0.3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spans="1:24" ht="15.75" customHeight="1" x14ac:dyDescent="0.3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spans="1:24" ht="15.75" customHeight="1" x14ac:dyDescent="0.3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spans="1:24" ht="15.75" customHeight="1" x14ac:dyDescent="0.3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spans="1:24" ht="15.75" customHeight="1" x14ac:dyDescent="0.3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spans="1:24" ht="15.75" customHeight="1" x14ac:dyDescent="0.3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spans="1:24" ht="15.75" customHeight="1" x14ac:dyDescent="0.3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spans="1:24" ht="15.75" customHeight="1" x14ac:dyDescent="0.3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spans="1:24" ht="15.75" customHeight="1" x14ac:dyDescent="0.3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spans="1:24" ht="15.75" customHeight="1" x14ac:dyDescent="0.3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spans="1:24" ht="15.75" customHeight="1" x14ac:dyDescent="0.3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spans="1:24" ht="15.75" customHeight="1" x14ac:dyDescent="0.3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spans="1:24" ht="15.75" customHeight="1" x14ac:dyDescent="0.3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spans="1:24" ht="15.75" customHeight="1" x14ac:dyDescent="0.3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spans="1:24" ht="15.75" customHeight="1" x14ac:dyDescent="0.3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spans="1:24" ht="15.75" customHeight="1" x14ac:dyDescent="0.3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spans="1:24" ht="15.75" customHeight="1" x14ac:dyDescent="0.3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spans="1:24" ht="15.75" customHeight="1" x14ac:dyDescent="0.3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spans="1:24" ht="15.75" customHeight="1" x14ac:dyDescent="0.3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row r="972" spans="1:24" ht="15.75" customHeight="1" x14ac:dyDescent="0.3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row>
    <row r="973" spans="1:24" ht="15.75" customHeight="1" x14ac:dyDescent="0.3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row>
    <row r="974" spans="1:24" ht="15.75" customHeight="1" x14ac:dyDescent="0.3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row>
    <row r="975" spans="1:24" ht="15.75" customHeight="1" x14ac:dyDescent="0.3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row>
    <row r="976" spans="1:24" ht="15.75" customHeight="1" x14ac:dyDescent="0.3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row>
    <row r="977" spans="1:24" ht="15.75" customHeight="1" x14ac:dyDescent="0.3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row>
    <row r="978" spans="1:24" ht="15.75" customHeight="1" x14ac:dyDescent="0.3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row>
    <row r="979" spans="1:24" ht="15.75" customHeight="1" x14ac:dyDescent="0.3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row>
    <row r="980" spans="1:24" ht="15.75" customHeight="1" x14ac:dyDescent="0.3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row>
    <row r="981" spans="1:24" ht="15.75" customHeight="1" x14ac:dyDescent="0.3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row>
    <row r="982" spans="1:24" ht="15.75" customHeight="1" x14ac:dyDescent="0.3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row>
    <row r="983" spans="1:24" ht="15.75" customHeight="1" x14ac:dyDescent="0.3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row>
    <row r="984" spans="1:24" ht="15.75" customHeight="1" x14ac:dyDescent="0.3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row>
    <row r="985" spans="1:24" ht="15.75" customHeight="1" x14ac:dyDescent="0.3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row>
    <row r="986" spans="1:24" ht="15.75" customHeight="1" x14ac:dyDescent="0.3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row>
    <row r="987" spans="1:24" ht="15.75" customHeight="1" x14ac:dyDescent="0.3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row>
    <row r="988" spans="1:24" ht="15.75" customHeight="1" x14ac:dyDescent="0.3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row>
    <row r="989" spans="1:24" ht="15.75" customHeight="1" x14ac:dyDescent="0.3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row>
    <row r="990" spans="1:24" ht="15.75" customHeight="1" x14ac:dyDescent="0.3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row>
    <row r="991" spans="1:24" ht="15.75" customHeight="1" x14ac:dyDescent="0.3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row>
    <row r="992" spans="1:24" ht="15.75" customHeight="1" x14ac:dyDescent="0.3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row>
    <row r="993" spans="1:24" ht="15.75" customHeight="1" x14ac:dyDescent="0.3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row>
    <row r="994" spans="1:24" ht="15.75" customHeight="1" x14ac:dyDescent="0.3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row>
    <row r="995" spans="1:24" ht="15.75" customHeight="1" x14ac:dyDescent="0.3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row>
    <row r="996" spans="1:24" ht="15.75" customHeight="1" x14ac:dyDescent="0.3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row>
    <row r="997" spans="1:24" ht="15.75" customHeight="1" x14ac:dyDescent="0.3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row>
    <row r="998" spans="1:24" ht="15.75" customHeight="1" x14ac:dyDescent="0.3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row>
    <row r="999" spans="1:24" ht="15.75" customHeight="1" x14ac:dyDescent="0.3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row>
    <row r="1000" spans="1:24" ht="15.75" customHeight="1" x14ac:dyDescent="0.3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row>
    <row r="1001" spans="1:24" ht="15.75" customHeight="1" x14ac:dyDescent="0.3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row>
    <row r="1002" spans="1:24" ht="15.75" customHeight="1" x14ac:dyDescent="0.3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row>
    <row r="1003" spans="1:24" ht="15.75" customHeight="1" x14ac:dyDescent="0.3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row>
    <row r="1004" spans="1:24" ht="15.75" customHeight="1" x14ac:dyDescent="0.3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C12" sqref="C12"/>
    </sheetView>
  </sheetViews>
  <sheetFormatPr defaultRowHeight="14.5" x14ac:dyDescent="0.35"/>
  <cols>
    <col min="1" max="1" width="24.6328125" customWidth="1"/>
    <col min="2" max="2" width="26.7265625" customWidth="1"/>
    <col min="3" max="3" width="95.54296875" customWidth="1"/>
  </cols>
  <sheetData>
    <row r="1" spans="1:3" x14ac:dyDescent="0.35">
      <c r="A1" s="72" t="s">
        <v>417</v>
      </c>
      <c r="B1" s="73" t="s">
        <v>418</v>
      </c>
      <c r="C1" s="72" t="s">
        <v>456</v>
      </c>
    </row>
    <row r="2" spans="1:3" x14ac:dyDescent="0.35">
      <c r="A2" s="72" t="s">
        <v>419</v>
      </c>
      <c r="B2" s="73" t="s">
        <v>418</v>
      </c>
      <c r="C2" s="72" t="s">
        <v>457</v>
      </c>
    </row>
    <row r="3" spans="1:3" x14ac:dyDescent="0.35">
      <c r="A3" s="72" t="s">
        <v>420</v>
      </c>
      <c r="B3" s="73" t="s">
        <v>418</v>
      </c>
      <c r="C3" s="72" t="s">
        <v>463</v>
      </c>
    </row>
    <row r="4" spans="1:3" x14ac:dyDescent="0.35">
      <c r="A4" s="72" t="s">
        <v>421</v>
      </c>
      <c r="B4" s="73" t="s">
        <v>418</v>
      </c>
      <c r="C4" s="72" t="s">
        <v>458</v>
      </c>
    </row>
    <row r="5" spans="1:3" x14ac:dyDescent="0.35">
      <c r="A5" s="72" t="s">
        <v>422</v>
      </c>
      <c r="B5" s="73" t="s">
        <v>418</v>
      </c>
      <c r="C5" s="72" t="s">
        <v>459</v>
      </c>
    </row>
    <row r="6" spans="1:3" x14ac:dyDescent="0.35">
      <c r="A6" s="72" t="s">
        <v>423</v>
      </c>
      <c r="B6" s="73" t="s">
        <v>418</v>
      </c>
      <c r="C6" s="72" t="s">
        <v>460</v>
      </c>
    </row>
    <row r="7" spans="1:3" x14ac:dyDescent="0.35">
      <c r="A7" s="72" t="s">
        <v>424</v>
      </c>
      <c r="B7" s="73" t="s">
        <v>418</v>
      </c>
      <c r="C7" s="72" t="s">
        <v>461</v>
      </c>
    </row>
    <row r="8" spans="1:3" x14ac:dyDescent="0.35">
      <c r="A8" s="72" t="s">
        <v>417</v>
      </c>
      <c r="B8" s="73" t="s">
        <v>418</v>
      </c>
      <c r="C8" s="72" t="s">
        <v>462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opLeftCell="A11" workbookViewId="0">
      <selection activeCell="A15" sqref="A15"/>
    </sheetView>
  </sheetViews>
  <sheetFormatPr defaultColWidth="25.81640625" defaultRowHeight="14.5" x14ac:dyDescent="0.35"/>
  <cols>
    <col min="1" max="1" width="21.90625" customWidth="1"/>
    <col min="3" max="3" width="88.453125" customWidth="1"/>
  </cols>
  <sheetData>
    <row r="1" spans="1:3" x14ac:dyDescent="0.35">
      <c r="A1" s="71" t="s">
        <v>369</v>
      </c>
      <c r="B1" s="71" t="s">
        <v>370</v>
      </c>
      <c r="C1" s="71" t="s">
        <v>371</v>
      </c>
    </row>
    <row r="2" spans="1:3" x14ac:dyDescent="0.35">
      <c r="A2" s="72" t="s">
        <v>372</v>
      </c>
      <c r="B2" s="72" t="s">
        <v>373</v>
      </c>
      <c r="C2" s="72" t="s">
        <v>439</v>
      </c>
    </row>
    <row r="3" spans="1:3" ht="29" x14ac:dyDescent="0.35">
      <c r="A3" s="72" t="s">
        <v>374</v>
      </c>
      <c r="B3" s="72" t="s">
        <v>375</v>
      </c>
      <c r="C3" s="72" t="s">
        <v>444</v>
      </c>
    </row>
    <row r="4" spans="1:3" x14ac:dyDescent="0.35">
      <c r="A4" s="72" t="s">
        <v>376</v>
      </c>
      <c r="B4" s="72" t="s">
        <v>375</v>
      </c>
      <c r="C4" s="85" t="s">
        <v>473</v>
      </c>
    </row>
    <row r="5" spans="1:3" x14ac:dyDescent="0.35">
      <c r="A5" s="72" t="s">
        <v>377</v>
      </c>
      <c r="B5" s="72" t="s">
        <v>375</v>
      </c>
      <c r="C5" s="72" t="s">
        <v>442</v>
      </c>
    </row>
    <row r="6" spans="1:3" x14ac:dyDescent="0.35">
      <c r="A6" s="72" t="s">
        <v>378</v>
      </c>
      <c r="B6" s="72" t="s">
        <v>375</v>
      </c>
      <c r="C6" s="72" t="s">
        <v>441</v>
      </c>
    </row>
    <row r="7" spans="1:3" x14ac:dyDescent="0.35">
      <c r="A7" s="72" t="s">
        <v>379</v>
      </c>
      <c r="B7" s="72" t="s">
        <v>375</v>
      </c>
      <c r="C7" s="72" t="s">
        <v>443</v>
      </c>
    </row>
    <row r="8" spans="1:3" x14ac:dyDescent="0.35">
      <c r="A8" s="72" t="s">
        <v>380</v>
      </c>
      <c r="B8" s="72" t="s">
        <v>375</v>
      </c>
      <c r="C8" s="72" t="s">
        <v>445</v>
      </c>
    </row>
    <row r="9" spans="1:3" x14ac:dyDescent="0.35">
      <c r="A9" s="72" t="s">
        <v>381</v>
      </c>
      <c r="B9" s="72" t="s">
        <v>375</v>
      </c>
      <c r="C9" s="72" t="s">
        <v>446</v>
      </c>
    </row>
    <row r="10" spans="1:3" x14ac:dyDescent="0.35">
      <c r="A10" s="72" t="s">
        <v>382</v>
      </c>
      <c r="B10" s="72" t="s">
        <v>375</v>
      </c>
      <c r="C10" s="77" t="s">
        <v>39</v>
      </c>
    </row>
    <row r="11" spans="1:3" x14ac:dyDescent="0.35">
      <c r="A11" s="72" t="s">
        <v>383</v>
      </c>
      <c r="B11" s="72" t="s">
        <v>375</v>
      </c>
      <c r="C11" s="77" t="s">
        <v>40</v>
      </c>
    </row>
    <row r="12" spans="1:3" x14ac:dyDescent="0.35">
      <c r="A12" s="72" t="s">
        <v>384</v>
      </c>
      <c r="B12" s="72" t="s">
        <v>375</v>
      </c>
      <c r="C12" s="72" t="s">
        <v>447</v>
      </c>
    </row>
    <row r="13" spans="1:3" x14ac:dyDescent="0.35">
      <c r="A13" s="72" t="s">
        <v>385</v>
      </c>
      <c r="B13" s="72" t="s">
        <v>375</v>
      </c>
      <c r="C13" s="72" t="s">
        <v>448</v>
      </c>
    </row>
    <row r="14" spans="1:3" ht="29" x14ac:dyDescent="0.35">
      <c r="A14" s="72" t="s">
        <v>386</v>
      </c>
      <c r="B14" s="72" t="s">
        <v>375</v>
      </c>
      <c r="C14" s="72" t="s">
        <v>449</v>
      </c>
    </row>
    <row r="15" spans="1:3" ht="29" x14ac:dyDescent="0.35">
      <c r="A15" s="72" t="s">
        <v>387</v>
      </c>
      <c r="B15" s="72" t="s">
        <v>375</v>
      </c>
      <c r="C15" s="72" t="s">
        <v>450</v>
      </c>
    </row>
    <row r="16" spans="1:3" x14ac:dyDescent="0.35">
      <c r="A16" s="72" t="s">
        <v>388</v>
      </c>
      <c r="B16" s="72" t="s">
        <v>375</v>
      </c>
      <c r="C16" s="72" t="s">
        <v>451</v>
      </c>
    </row>
    <row r="17" spans="1:3" x14ac:dyDescent="0.35">
      <c r="A17" s="72" t="s">
        <v>389</v>
      </c>
      <c r="B17" s="72" t="s">
        <v>375</v>
      </c>
      <c r="C17" s="72" t="s">
        <v>452</v>
      </c>
    </row>
    <row r="18" spans="1:3" x14ac:dyDescent="0.35">
      <c r="A18" s="72" t="s">
        <v>390</v>
      </c>
    </row>
    <row r="19" spans="1:3" ht="29" x14ac:dyDescent="0.35">
      <c r="A19" s="72" t="s">
        <v>391</v>
      </c>
      <c r="B19" s="72" t="s">
        <v>397</v>
      </c>
      <c r="C19" s="72" t="s">
        <v>453</v>
      </c>
    </row>
    <row r="20" spans="1:3" x14ac:dyDescent="0.35">
      <c r="A20" s="72" t="s">
        <v>392</v>
      </c>
      <c r="B20" s="72" t="s">
        <v>397</v>
      </c>
      <c r="C20" s="72" t="s">
        <v>440</v>
      </c>
    </row>
    <row r="21" spans="1:3" x14ac:dyDescent="0.35">
      <c r="A21" s="72" t="s">
        <v>393</v>
      </c>
      <c r="B21" s="72" t="s">
        <v>397</v>
      </c>
      <c r="C21" s="72" t="s">
        <v>454</v>
      </c>
    </row>
    <row r="22" spans="1:3" ht="29" x14ac:dyDescent="0.35">
      <c r="A22" s="72" t="s">
        <v>394</v>
      </c>
      <c r="B22" s="72" t="s">
        <v>397</v>
      </c>
      <c r="C22" s="72" t="s">
        <v>455</v>
      </c>
    </row>
    <row r="23" spans="1:3" x14ac:dyDescent="0.35">
      <c r="A23" s="72" t="s">
        <v>395</v>
      </c>
      <c r="B23" s="72" t="s">
        <v>397</v>
      </c>
      <c r="C23" s="72" t="s">
        <v>465</v>
      </c>
    </row>
    <row r="24" spans="1:3" ht="29" x14ac:dyDescent="0.35">
      <c r="A24" s="72" t="s">
        <v>396</v>
      </c>
      <c r="B24" s="72" t="s">
        <v>397</v>
      </c>
      <c r="C24" s="72"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New-Global Requirement</vt:lpstr>
      <vt:lpstr>Administration</vt:lpstr>
      <vt:lpstr>Metering</vt:lpstr>
      <vt:lpstr>Billing</vt:lpstr>
      <vt:lpstr>Billing Calculation</vt:lpstr>
      <vt:lpstr>Ticketing</vt:lpstr>
      <vt:lpstr>Reporting</vt:lpstr>
      <vt:lpstr>Customer Portal</vt:lpstr>
      <vt:lpstr>LFS Portal</vt:lpstr>
      <vt:lpstr>Change and Disconnect</vt:lpstr>
      <vt:lpstr>Onboarding</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Sankalp Awasthi</dc:creator>
  <cp:lastModifiedBy>Sankalp Awasthi</cp:lastModifiedBy>
  <dcterms:created xsi:type="dcterms:W3CDTF">2019-05-15T14:08:03Z</dcterms:created>
  <dcterms:modified xsi:type="dcterms:W3CDTF">2019-05-29T13:37:15Z</dcterms:modified>
</cp:coreProperties>
</file>